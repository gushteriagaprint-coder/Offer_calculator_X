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tables/table2.xml" ContentType="application/vnd.openxmlformats-officedocument.spreadsheetml.table+xml"/>
  <Override PartName="/xl/comments4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5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Тази_работна_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nel\Desktop\calk\Black\"/>
    </mc:Choice>
  </mc:AlternateContent>
  <xr:revisionPtr revIDLastSave="0" documentId="13_ncr:1_{9497774D-40F4-4985-BD95-0A780C44E8F8}" xr6:coauthVersionLast="47" xr6:coauthVersionMax="47" xr10:uidLastSave="{00000000-0000-0000-0000-000000000000}"/>
  <bookViews>
    <workbookView xWindow="945" yWindow="840" windowWidth="18915" windowHeight="15030" tabRatio="671" activeTab="5" xr2:uid="{00000000-000D-0000-FFFF-FFFF00000000}"/>
  </bookViews>
  <sheets>
    <sheet name="черно+" sheetId="11" r:id="rId1"/>
    <sheet name="Химия" sheetId="21" r:id="rId2"/>
    <sheet name="Книжки" sheetId="5" r:id="rId3"/>
    <sheet name="Календари" sheetId="22" r:id="rId4"/>
    <sheet name="спирала" sheetId="18" r:id="rId5"/>
    <sheet name="формати" sheetId="13" r:id="rId6"/>
    <sheet name="довърш." sheetId="14" r:id="rId7"/>
    <sheet name="заявка" sheetId="17" r:id="rId8"/>
    <sheet name="предпечат и ел. монтаж" sheetId="20" r:id="rId9"/>
  </sheets>
  <functionGroups builtInGroupCount="19"/>
  <definedNames>
    <definedName name="_xlnm._FilterDatabase" localSheetId="3" hidden="1">Календари!$A$3:$C$16</definedName>
    <definedName name="_xlnm._FilterDatabase" localSheetId="2" hidden="1">Книжки!$A$3:$C$16</definedName>
    <definedName name="_xlnm._FilterDatabase" localSheetId="1" hidden="1">Химия!$A$3:$C$17</definedName>
    <definedName name="_xlnm._FilterDatabase" localSheetId="0" hidden="1">'черно+'!$A$3:$B$15</definedName>
    <definedName name="_xleta.LOOKUP" hidden="1" xlm="1">#NAME?</definedName>
    <definedName name="_xlpm._лист" hidden="1" xlm="1">#NAME?</definedName>
    <definedName name="_xlpm.e_лист" hidden="1" xlm="1">#NAME?</definedName>
    <definedName name="_xlpm.eo_лист" hidden="1" xlm="1">#NAME?</definedName>
    <definedName name="_xlpm.k_хартия" hidden="1" xlm="1">#NAME?</definedName>
    <definedName name="_xlpm.t_биг" hidden="1" xlm="1">#NAME?</definedName>
    <definedName name="_xlpm.t_лам" hidden="1" xlm="1">#NAME?</definedName>
    <definedName name="_xlpm.t_ном" hidden="1" xlm="1">#NAME?</definedName>
    <definedName name="_xlpm.t_перф" hidden="1" xlm="1">#NAME?</definedName>
    <definedName name="_xlpm.t_УВ" hidden="1" xlm="1">#NAME?</definedName>
    <definedName name="_xlpm.t_щанц" hidden="1" xlm="1">#NAME?</definedName>
    <definedName name="_xlpm.u" hidden="1" xlm="1">#NAME?</definedName>
    <definedName name="_xlpm.uf" hidden="1" xlm="1">#NAME?</definedName>
    <definedName name="_xlpm.б" hidden="1" xlm="1">#NAME?</definedName>
    <definedName name="_xlpm.б_тираж" hidden="1" xlm="1">#NAME?</definedName>
    <definedName name="_xlpm.база" hidden="1" xlm="1">#NAME?</definedName>
    <definedName name="_xlpm.база_I9" hidden="1" xlm="1">#NAME?</definedName>
    <definedName name="_xlpm.база_доставка" hidden="1" xlm="1">#NAME?</definedName>
    <definedName name="_xlpm.база_плаки" hidden="1" xlm="1">#NAME?</definedName>
    <definedName name="_xlpm.база_тираж" hidden="1" xlm="1">#NAME?</definedName>
    <definedName name="_xlpm.база_труд" hidden="1" xlm="1">#NAME?</definedName>
    <definedName name="_xlpm.база_цена" hidden="1" xlm="1">#NAME?</definedName>
    <definedName name="_xlpm.базов_коефициент" hidden="1" xlm="1">#NAME?</definedName>
    <definedName name="_xlpm.биг" hidden="1" xlm="1">#NAME?</definedName>
    <definedName name="_xlpm.биг_брой" hidden="1" xlm="1">#NAME?</definedName>
    <definedName name="_xlpm.биговане_вид" hidden="1" xlm="1">#NAME?</definedName>
    <definedName name="_xlpm.бигове" hidden="1" xlm="1">#NAME?</definedName>
    <definedName name="_xlpm.бр" hidden="1" xlm="1">#NAME?</definedName>
    <definedName name="_xlpm.бр_л" hidden="1" xlm="1">#NAME?</definedName>
    <definedName name="_xlpm.бр_ли" hidden="1" xlm="1">#NAME?</definedName>
    <definedName name="_xlpm.бр_лис" hidden="1" xlm="1">#NAME?</definedName>
    <definedName name="_xlpm.бр_лист" hidden="1" xlm="1">#NAME?</definedName>
    <definedName name="_xlpm.бр_листа" hidden="1" xlm="1">#NAME?</definedName>
    <definedName name="_xlpm.бр_тир_листа" hidden="1" xlm="1">#NAME?</definedName>
    <definedName name="_xlpm.бр_тираж" hidden="1" xlm="1">#NAME?</definedName>
    <definedName name="_xlpm.бро" hidden="1" xlm="1">#NAME?</definedName>
    <definedName name="_xlpm.брой" hidden="1" xlm="1">#NAME?</definedName>
    <definedName name="_xlpm.брой_" hidden="1" xlm="1">#NAME?</definedName>
    <definedName name="_xlpm.брой_кочани" hidden="1" xlm="1">#NAME?</definedName>
    <definedName name="_xlpm.брой_л" hidden="1" xlm="1">#NAME?</definedName>
    <definedName name="_xlpm.брой_ли" hidden="1" xlm="1">#NAME?</definedName>
    <definedName name="_xlpm.брой_лис" hidden="1" xlm="1">#NAME?</definedName>
    <definedName name="_xlpm.брой_лист" hidden="1" xlm="1">#NAME?</definedName>
    <definedName name="_xlpm.брой_листа" hidden="1" xlm="1">#NAME?</definedName>
    <definedName name="_xlpm.брой_удари" hidden="1" xlm="1">#NAME?</definedName>
    <definedName name="_xlpm.буфер" hidden="1" xlm="1">#NAME?</definedName>
    <definedName name="_xlpm.буфер_труд" hidden="1" xlm="1">#NAME?</definedName>
    <definedName name="_xlpm.в" hidden="1" xlm="1">#NAME?</definedName>
    <definedName name="_xlpm.вариант" hidden="1" xlm="1">#NAME?</definedName>
    <definedName name="_xlpm.вид" hidden="1" xlm="1">#NAME?</definedName>
    <definedName name="_xlpm.вл" hidden="1" xlm="1">#NAME?</definedName>
    <definedName name="_xlpm.вла" hidden="1" xlm="1">#NAME?</definedName>
    <definedName name="_xlpm.влаг" hidden="1" xlm="1">#NAME?</definedName>
    <definedName name="_xlpm.г" hidden="1" xlm="1">#NAME?</definedName>
    <definedName name="_xlpm.грамаж" hidden="1" xlm="1">#NAME?</definedName>
    <definedName name="_xlpm.гънки" hidden="1" xlm="1">#NAME?</definedName>
    <definedName name="_xlpm.доп_разход" hidden="1" xlm="1">#NAME?</definedName>
    <definedName name="_xlpm.е" hidden="1" xlm="1">#NAME?</definedName>
    <definedName name="_xlpm.е_лист" hidden="1" xlm="1">#NAME?</definedName>
    <definedName name="_xlpm.ед" hidden="1" xlm="1">#NAME?</definedName>
    <definedName name="_xlpm.ед_б" hidden="1" xlm="1">#NAME?</definedName>
    <definedName name="_xlpm.ед_бр" hidden="1" xlm="1">#NAME?</definedName>
    <definedName name="_xlpm.ед_лист" hidden="1" xlm="1">#NAME?</definedName>
    <definedName name="_xlpm.едБрой" hidden="1" xlm="1">#NAME?</definedName>
    <definedName name="_xlpm.еди" hidden="1" xlm="1">#NAME?</definedName>
    <definedName name="_xlpm.един" hidden="1" xlm="1">#NAME?</definedName>
    <definedName name="_xlpm.едини" hidden="1" xlm="1">#NAME?</definedName>
    <definedName name="_xlpm.единици" hidden="1" xlm="1">#NAME?</definedName>
    <definedName name="_xlpm.единич" hidden="1" xlm="1">#NAME?</definedName>
    <definedName name="_xlpm.единичн" hidden="1" xlm="1">#NAME?</definedName>
    <definedName name="_xlpm.единични" hidden="1" xlm="1">#NAME?</definedName>
    <definedName name="_xlpm.екстра_разход" hidden="1" xlm="1">#NAME?</definedName>
    <definedName name="_xlpm.екстра_хиляди" hidden="1" xlm="1">#NAME?</definedName>
    <definedName name="_xlpm.зъби" hidden="1" xlm="1">#NAME?</definedName>
    <definedName name="_xlpm.иг" hidden="1" xlm="1">#NAME?</definedName>
    <definedName name="_xlpm.избор" hidden="1" xlm="1">#NAME?</definedName>
    <definedName name="_xlpm.ир_лист" hidden="1" xlm="1">#NAME?</definedName>
    <definedName name="_xlpm.к" hidden="1" xlm="1">#NAME?</definedName>
    <definedName name="_xlpm.картон_вид" hidden="1" xlm="1">#NAME?</definedName>
    <definedName name="_xlpm.картон_стойност" hidden="1" xlm="1">#NAME?</definedName>
    <definedName name="_xlpm.клиент" hidden="1" xlm="1">#NAME?</definedName>
    <definedName name="_xlpm.ко" hidden="1" xlm="1">#NAME?</definedName>
    <definedName name="_xlpm.коеф_дебелина" hidden="1" xlm="1">#NAME?</definedName>
    <definedName name="_xlpm.коеф_хиляди" hidden="1" xlm="1">#NAME?</definedName>
    <definedName name="_xlpm.кол" hidden="1" xlm="1">#NAME?</definedName>
    <definedName name="_xlpm.коли" hidden="1" xlm="1">#NAME?</definedName>
    <definedName name="_xlpm.комп_A" hidden="1" xlm="1">#NAME?</definedName>
    <definedName name="_xlpm.комп_B" hidden="1" xlm="1">#NAME?</definedName>
    <definedName name="_xlpm.корекция" hidden="1" xlm="1">#NAME?</definedName>
    <definedName name="_xlpm.кофициент_обръщане" hidden="1" xlm="1">#NAME?</definedName>
    <definedName name="_xlpm.кочани" hidden="1" xlm="1">#NAME?</definedName>
    <definedName name="_xlpm.Л" hidden="1" xlm="1">#NAME?</definedName>
    <definedName name="_xlpm.лам" hidden="1" xlm="1">#NAME?</definedName>
    <definedName name="_xlpm.лам_вид" hidden="1" xlm="1">#NAME?</definedName>
    <definedName name="_xlpm.лепене" hidden="1" xlm="1">#NAME?</definedName>
    <definedName name="_xlpm.лепене_стойност" hidden="1" xlm="1">#NAME?</definedName>
    <definedName name="_xlpm.ЛИ" hidden="1" xlm="1">#NAME?</definedName>
    <definedName name="_xlpm.лимит" hidden="1" xlm="1">#NAME?</definedName>
    <definedName name="_xlpm.лимит_макс" hidden="1" xlm="1">#NAME?</definedName>
    <definedName name="_xlpm.лимит_символичен" hidden="1" xlm="1">#NAME?</definedName>
    <definedName name="_xlpm.ЛИС" hidden="1" xlm="1">#NAME?</definedName>
    <definedName name="_xlpm.лист" hidden="1" xlm="1">#NAME?</definedName>
    <definedName name="_xlpm.листа" hidden="1" xlm="1">#NAME?</definedName>
    <definedName name="_xlpm.листа_корица" hidden="1" xlm="1">#NAME?</definedName>
    <definedName name="_xlpm.листа_на_удар" hidden="1" xlm="1">#NAME?</definedName>
    <definedName name="_xlpm.листа_тяло" hidden="1" xlm="1">#NAME?</definedName>
    <definedName name="_xlpm.материал" hidden="1" xlm="1">#NAME?</definedName>
    <definedName name="_xlpm.н" hidden="1" xlm="1">#NAME?</definedName>
    <definedName name="_xlpm.на" hidden="1" xlm="1">#NAME?</definedName>
    <definedName name="_xlpm.наб" hidden="1" xlm="1">#NAME?</definedName>
    <definedName name="_xlpm.набо" hidden="1" xlm="1">#NAME?</definedName>
    <definedName name="_xlpm.набор" hidden="1" xlm="1">#NAME?</definedName>
    <definedName name="_xlpm.надбавка" hidden="1" xlm="1">#NAME?</definedName>
    <definedName name="_xlpm.надбавка_дебелина" hidden="1" xlm="1">#NAME?</definedName>
    <definedName name="_xlpm.но" hidden="1" xlm="1">#NAME?</definedName>
    <definedName name="_xlpm.ном" hidden="1" xlm="1">#NAME?</definedName>
    <definedName name="_xlpm.ном_биг" hidden="1" xlm="1">#NAME?</definedName>
    <definedName name="_xlpm.ном_стойност" hidden="1" xlm="1">#NAME?</definedName>
    <definedName name="_xlpm.номе" hidden="1" xlm="1">#NAME?</definedName>
    <definedName name="_xlpm.номер" hidden="1" xlm="1">#NAME?</definedName>
    <definedName name="_xlpm.номер_" hidden="1" xlm="1">#NAME?</definedName>
    <definedName name="_xlpm.номер_с" hidden="1" xlm="1">#NAME?</definedName>
    <definedName name="_xlpm.номер_ст" hidden="1" xlm="1">#NAME?</definedName>
    <definedName name="_xlpm.номер_стр" hidden="1" xlm="1">#NAME?</definedName>
    <definedName name="_xlpm.общ_тир" hidden="1" xlm="1">#NAME?</definedName>
    <definedName name="_xlpm.общо_листа" hidden="1" xlm="1">#NAME?</definedName>
    <definedName name="_xlpm.общо_страници" hidden="1" xlm="1">#NAME?</definedName>
    <definedName name="_xlpm.общо_удари" hidden="1" xlm="1">#NAME?</definedName>
    <definedName name="_xlpm.оскъпяване_от_дебелина" hidden="1" xlm="1">#NAME?</definedName>
    <definedName name="_xlpm.пачки" hidden="1" xlm="1">#NAME?</definedName>
    <definedName name="_xlpm.перф" hidden="1" xlm="1">#NAME?</definedName>
    <definedName name="_xlpm.перфо" hidden="1" xlm="1">#NAME?</definedName>
    <definedName name="_xlpm.перфо_стойност" hidden="1" xlm="1">#NAME?</definedName>
    <definedName name="_xlpm.плаки" hidden="1" xlm="1">#NAME?</definedName>
    <definedName name="_xlpm.подготовка" hidden="1" xlm="1">#NAME?</definedName>
    <definedName name="_xlpm.праг_евро" hidden="1" xlm="1">#NAME?</definedName>
    <definedName name="_xlpm.р" hidden="1" xlm="1">#NAME?</definedName>
    <definedName name="_xlpm.р_вид" hidden="1" xlm="1">#NAME?</definedName>
    <definedName name="_xlpm.ра" hidden="1" xlm="1">#NAME?</definedName>
    <definedName name="_xlpm.ра_вид" hidden="1" xlm="1">#NAME?</definedName>
    <definedName name="_xlpm.раз" hidden="1" xlm="1">#NAME?</definedName>
    <definedName name="_xlpm.раз_вид" hidden="1" xlm="1">#NAME?</definedName>
    <definedName name="_xlpm.разд_вид" hidden="1" xlm="1">#NAME?</definedName>
    <definedName name="_xlpm.разм" hidden="1" xlm="1">#NAME?</definedName>
    <definedName name="_xlpm.размер" hidden="1" xlm="1">#NAME?</definedName>
    <definedName name="_xlpm.размн" hidden="1" xlm="1">#NAME?</definedName>
    <definedName name="_xlpm.размно" hidden="1" xlm="1">#NAME?</definedName>
    <definedName name="_xlpm.размнож" hidden="1" xlm="1">#NAME?</definedName>
    <definedName name="_xlpm.размноже" hidden="1" xlm="1">#NAME?</definedName>
    <definedName name="_xlpm.размножен" hidden="1" xlm="1">#NAME?</definedName>
    <definedName name="_xlpm.размножени" hidden="1" xlm="1">#NAME?</definedName>
    <definedName name="_xlpm.размножения" hidden="1" xlm="1">#NAME?</definedName>
    <definedName name="_xlpm.резултат" hidden="1" xlm="1">#NAME?</definedName>
    <definedName name="_xlpm.ръчен_резултат" hidden="1" xlm="1">#NAME?</definedName>
    <definedName name="_xlpm.с_вид" hidden="1" xlm="1">#NAME?</definedName>
    <definedName name="_xlpm.сг_вид" hidden="1" xlm="1">#NAME?</definedName>
    <definedName name="_xlpm.сгъ_вид" hidden="1" xlm="1">#NAME?</definedName>
    <definedName name="_xlpm.сгъв_б" hidden="1" xlm="1">#NAME?</definedName>
    <definedName name="_xlpm.сгъв_бр" hidden="1" xlm="1">#NAME?</definedName>
    <definedName name="_xlpm.сгъв_вид" hidden="1" xlm="1">#NAME?</definedName>
    <definedName name="_xlpm.сгъв_стойност" hidden="1" xlm="1">#NAME?</definedName>
    <definedName name="_xlpm.слоеве" hidden="1" xlm="1">#NAME?</definedName>
    <definedName name="_xlpm.сметка" hidden="1" xlm="1">#NAME?</definedName>
    <definedName name="_xlpm.сметка_I13" hidden="1" xlm="1">#NAME?</definedName>
    <definedName name="_xlpm.сметка_пакетиране" hidden="1" xlm="1">#NAME?</definedName>
    <definedName name="_xlpm.списък" hidden="1" xlm="1">#NAME?</definedName>
    <definedName name="_xlpm.стойност_L5" hidden="1" xlm="1">#NAME?</definedName>
    <definedName name="_xlpm.стойност_M5" hidden="1" xlm="1">#NAME?</definedName>
    <definedName name="_xlpm.страници" hidden="1" xlm="1">#NAME?</definedName>
    <definedName name="_xlpm.страници_100" hidden="1" xlm="1">#NAME?</definedName>
    <definedName name="_xlpm.текст_" hidden="1" xlm="1">#NAME?</definedName>
    <definedName name="_xlpm.текст_W" hidden="1" xlm="1">#NAME?</definedName>
    <definedName name="_xlpm.текст_б" hidden="1" xlm="1">#NAME?</definedName>
    <definedName name="_xlpm.текст_би" hidden="1" xlm="1">#NAME?</definedName>
    <definedName name="_xlpm.текст_биг" hidden="1" xlm="1">#NAME?</definedName>
    <definedName name="_xlpm.текст_биго" hidden="1" xlm="1">#NAME?</definedName>
    <definedName name="_xlpm.текст_бигов" hidden="1" xlm="1">#NAME?</definedName>
    <definedName name="_xlpm.текст_бигова" hidden="1" xlm="1">#NAME?</definedName>
    <definedName name="_xlpm.текст_бигован" hidden="1" xlm="1">#NAME?</definedName>
    <definedName name="_xlpm.текст_биговане" hidden="1" xlm="1">#NAME?</definedName>
    <definedName name="_xlpm.текст_в" hidden="1" xlm="1">#NAME?</definedName>
    <definedName name="_xlpm.текст_вл" hidden="1" xlm="1">#NAME?</definedName>
    <definedName name="_xlpm.текст_вла" hidden="1" xlm="1">#NAME?</definedName>
    <definedName name="_xlpm.текст_влаг" hidden="1" xlm="1">#NAME?</definedName>
    <definedName name="_xlpm.текст_картон" hidden="1" xlm="1">#NAME?</definedName>
    <definedName name="_xlpm.текст_лам" hidden="1" xlm="1">#NAME?</definedName>
    <definedName name="_xlpm.текст_ламинат" hidden="1" xlm="1">#NAME?</definedName>
    <definedName name="_xlpm.текст_лепене" hidden="1" xlm="1">#NAME?</definedName>
    <definedName name="_xlpm.текст_н" hidden="1" xlm="1">#NAME?</definedName>
    <definedName name="_xlpm.текст_на" hidden="1" xlm="1">#NAME?</definedName>
    <definedName name="_xlpm.текст_наб" hidden="1" xlm="1">#NAME?</definedName>
    <definedName name="_xlpm.текст_набо" hidden="1" xlm="1">#NAME?</definedName>
    <definedName name="_xlpm.текст_набор" hidden="1" xlm="1">#NAME?</definedName>
    <definedName name="_xlpm.текст_ном" hidden="1" xlm="1">#NAME?</definedName>
    <definedName name="_xlpm.текст_номерация" hidden="1" xlm="1">#NAME?</definedName>
    <definedName name="_xlpm.текст_перф" hidden="1" xlm="1">#NAME?</definedName>
    <definedName name="_xlpm.текст_перфо" hidden="1" xlm="1">#NAME?</definedName>
    <definedName name="_xlpm.текст_перфорация" hidden="1" xlm="1">#NAME?</definedName>
    <definedName name="_xlpm.текст_сгъв" hidden="1" xlm="1">#NAME?</definedName>
    <definedName name="_xlpm.текст_Стр" hidden="1" xlm="1">#NAME?</definedName>
    <definedName name="_xlpm.текст_У" hidden="1" xlm="1">#NAME?</definedName>
    <definedName name="_xlpm.текст_УВ" hidden="1" xlm="1">#NAME?</definedName>
    <definedName name="_xlpm.текст_щанц" hidden="1" xlm="1">#NAME?</definedName>
    <definedName name="_xlpm.текст_щанцоване" hidden="1" xlm="1">#NAME?</definedName>
    <definedName name="_xlpm.тип" hidden="1" xlm="1">#NAME?</definedName>
    <definedName name="_xlpm.тип_лак" hidden="1" xlm="1">#NAME?</definedName>
    <definedName name="_xlpm.тип_лам" hidden="1" xlm="1">#NAME?</definedName>
    <definedName name="_xlpm.тир" hidden="1" xlm="1">#NAME?</definedName>
    <definedName name="_xlpm.тир_лист" hidden="1" xlm="1">#NAME?</definedName>
    <definedName name="_xlpm.тир_листа" hidden="1" xlm="1">#NAME?</definedName>
    <definedName name="_xlpm.тир_фира" hidden="1" xlm="1">#NAME?</definedName>
    <definedName name="_xlpm.тираж" hidden="1" xlm="1">#NAME?</definedName>
    <definedName name="_xlpm.тираж_100" hidden="1" xlm="1">#NAME?</definedName>
    <definedName name="_xlpm.тираж_1000" hidden="1" xlm="1">#NAME?</definedName>
    <definedName name="_xlpm.тираж_база" hidden="1" xlm="1">#NAME?</definedName>
    <definedName name="_xlpm.тираж_закр" hidden="1" xlm="1">#NAME?</definedName>
    <definedName name="_xlpm.тираж_коригиран" hidden="1" xlm="1">#NAME?</definedName>
    <definedName name="_xlpm.тираж_фира" hidden="1" xlm="1">#NAME?</definedName>
    <definedName name="_xlpm.УВ" hidden="1" xlm="1">#NAME?</definedName>
    <definedName name="_xlpm.УВ_вид" hidden="1" xlm="1">#NAME?</definedName>
    <definedName name="_xlpm.увеличение" hidden="1" xlm="1">#NAME?</definedName>
    <definedName name="_xlpm.удари" hidden="1" xlm="1">#NAME?</definedName>
    <definedName name="_xlpm.удари_коригирани" hidden="1" xlm="1">#NAME?</definedName>
    <definedName name="_xlpm.удари_хиляди" hidden="1" xlm="1">#NAME?</definedName>
    <definedName name="_xlpm.удари_чисти" hidden="1" xlm="1">#NAME?</definedName>
    <definedName name="_xlpm.хиляди" hidden="1" xlm="1">#NAME?</definedName>
    <definedName name="_xlpm.хиляди_над" hidden="1" xlm="1">#NAME?</definedName>
    <definedName name="_xlpm.цветност" hidden="1" xlm="1">#NAME?</definedName>
    <definedName name="_xlpm.цветове" hidden="1" xlm="1">#NAME?</definedName>
    <definedName name="_xlpm.цветове_гръб" hidden="1" xlm="1">#NAME?</definedName>
    <definedName name="_xlpm.цвят_гръб" hidden="1" xlm="1">#NAME?</definedName>
    <definedName name="_xlpm.цвят_лице" hidden="1" xlm="1">#NAME?</definedName>
    <definedName name="_xlpm.цели_листа" hidden="1" xlm="1">#NAME?</definedName>
    <definedName name="_xlpm.цена" hidden="1" xlm="1">#NAME?</definedName>
    <definedName name="_xlpm.цена_3стр" hidden="1" xlm="1">#NAME?</definedName>
    <definedName name="_xlpm.цена_3стр_нова" hidden="1" xlm="1">#NAME?</definedName>
    <definedName name="_xlpm.цена_3страни" hidden="1" xlm="1">#NAME?</definedName>
    <definedName name="_xlpm.цена_ани" hidden="1" xlm="1">#NAME?</definedName>
    <definedName name="_xlpm.цена_база" hidden="1" xlm="1">#NAME?</definedName>
    <definedName name="_xlpm.цена_доставка" hidden="1" xlm="1">#NAME?</definedName>
    <definedName name="_xlpm.цена_други" hidden="1" xlm="1">#NAME?</definedName>
    <definedName name="_xlpm.цена_ед" hidden="1" xlm="1">#NAME?</definedName>
    <definedName name="_xlpm.цена_единична" hidden="1" xlm="1">#NAME?</definedName>
    <definedName name="_xlpm.цена_зъб" hidden="1" xlm="1">#NAME?</definedName>
    <definedName name="_xlpm.цена_кубчета" hidden="1" xlm="1">#NAME?</definedName>
    <definedName name="_xlpm.цена_лепене" hidden="1" xlm="1">#NAME?</definedName>
    <definedName name="_xlpm.цена_микро" hidden="1" xlm="1">#NAME?</definedName>
    <definedName name="_xlpm.цена_на_100" hidden="1" xlm="1">#NAME?</definedName>
    <definedName name="_xlpm.цена_на_100_бр" hidden="1" xlm="1">#NAME?</definedName>
    <definedName name="_xlpm.цена_на_1000_книжки" hidden="1" xlm="1">#NAME?</definedName>
    <definedName name="_xlpm.цена_с_закръгление" hidden="1" xlm="1">#NAME?</definedName>
    <definedName name="_xlpm.цена_стандарт" hidden="1" xlm="1">#NAME?</definedName>
    <definedName name="_xlpm.цена_форматиране" hidden="1" xlm="1">#NAME?</definedName>
    <definedName name="_xlpm.цена_цвят" hidden="1" xlm="1">#NAME?</definedName>
    <definedName name="_xlpm.ш_стойност" hidden="1" xlm="1">#NAME?</definedName>
    <definedName name="_xlpm.ши_стойност" hidden="1" xlm="1">#NAME?</definedName>
    <definedName name="_xlpm.шие_стойност" hidden="1" xlm="1">#NAME?</definedName>
    <definedName name="_xlpm.шиен_стойност" hidden="1" xlm="1">#NAME?</definedName>
    <definedName name="_xlpm.шиене_стойност" hidden="1" xlm="1">#NAME?</definedName>
    <definedName name="_xlpm.щанц" hidden="1" xlm="1">#NAME?</definedName>
    <definedName name="el.montaj">montaj[изделие]</definedName>
    <definedName name="f.43x61">формати!$B$43:$B$44</definedName>
    <definedName name="f.50x70">формати!$B$21:$B$25</definedName>
    <definedName name="f.60x84">формати!$B$38:$B$39</definedName>
    <definedName name="f.60x90">формати!$B$26:$B$29</definedName>
    <definedName name="f.61x86" comment="ema+agresione">формати!$B$40:$B$42</definedName>
    <definedName name="f.64x88">формати!$B$33:$B$37</definedName>
    <definedName name="f.64x90">формати!$B$16:$B$20</definedName>
    <definedName name="f.64x94">формати!$B$30:$B$32</definedName>
    <definedName name="f.70x100">формати!$B$2:$B$15</definedName>
    <definedName name="form_Cyal_list">таб_Цял_Лист[]</definedName>
    <definedName name="formati">формати!$E$14:$E$24</definedName>
    <definedName name="Hymiya" comment="43x61">формати!$B$45:$B$46</definedName>
    <definedName name="inch">спирала!$P$5:$P$11</definedName>
    <definedName name="lak">довърш.!$I$2:$I$10</definedName>
    <definedName name="lepene">довърш.!$A$3:$A$9</definedName>
    <definedName name="obr.">довърш.!$C$5:$C$8</definedName>
    <definedName name="podgot_cena">довърш.!$L$11:$L$13</definedName>
    <definedName name="solver_adj" localSheetId="5" hidden="1">формати!#REF!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формати!#REF!</definedName>
    <definedName name="solver_lhs2" localSheetId="5" hidden="1">формати!#REF!</definedName>
    <definedName name="solver_lhs3" localSheetId="5" hidden="1">формати!#REF!</definedName>
    <definedName name="solver_lhs4" localSheetId="5" hidden="1">формати!#REF!</definedName>
    <definedName name="solver_mip" localSheetId="5" hidden="1">2147483647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4</definedName>
    <definedName name="solver_nwt" localSheetId="5" hidden="1">1</definedName>
    <definedName name="solver_opt" localSheetId="5" hidden="1">формати!#REF!</definedName>
    <definedName name="solver_rbv" localSheetId="5" hidden="1">2</definedName>
    <definedName name="solver_rel1" localSheetId="5" hidden="1">3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hs1" localSheetId="5" hidden="1">0</definedName>
    <definedName name="solver_rhs2" localSheetId="5" hidden="1">1</definedName>
    <definedName name="solver_rhs3" localSheetId="5" hidden="1">0</definedName>
    <definedName name="solver_rhs4" localSheetId="5" hidden="1">1</definedName>
    <definedName name="solver_rlx" localSheetId="5" hidden="1">2</definedName>
    <definedName name="solver_scl" localSheetId="5" hidden="1">2</definedName>
    <definedName name="solver_sho" localSheetId="5" hidden="1">2</definedName>
    <definedName name="solver_ssz" localSheetId="5" hidden="1">0</definedName>
    <definedName name="solver_tim" localSheetId="5" hidden="1">2147483647</definedName>
    <definedName name="solver_tol" localSheetId="5" hidden="1">0.01</definedName>
    <definedName name="solver_typ" localSheetId="5" hidden="1">1</definedName>
    <definedName name="solver_val" localSheetId="5" hidden="1">0</definedName>
    <definedName name="solver_ver" localSheetId="5" hidden="1">3</definedName>
    <definedName name="uv">Таблица1[УВ лак/ламиниране]</definedName>
    <definedName name="uv_podgot">довърш.!$I$11:$I$13</definedName>
    <definedName name="плаки">формати!$B$47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7" i="11" l="1"/>
  <c r="I8" i="11"/>
  <c r="G8" i="11" s="1"/>
  <c r="B13" i="11"/>
  <c r="G22" i="5"/>
  <c r="G8" i="21" a="1"/>
  <c r="G8" i="21" s="1"/>
  <c r="G12" i="21"/>
  <c r="G16" i="11"/>
  <c r="K6" i="11" a="1"/>
  <c r="F7" i="13" a="1"/>
  <c r="B11" i="11" a="1"/>
  <c r="I3" i="13" a="1"/>
  <c r="B11" i="11" l="1"/>
  <c r="K6" i="11"/>
  <c r="I3" i="13"/>
  <c r="F7" i="13"/>
  <c r="B19" i="17"/>
  <c r="D6" i="17"/>
  <c r="D7" i="17"/>
  <c r="B12" i="11" l="1"/>
  <c r="G15" i="11" s="1"/>
  <c r="J28" i="11"/>
  <c r="A21" i="5"/>
  <c r="C36" i="21" a="1"/>
  <c r="B14" i="11" l="1"/>
  <c r="B15" i="11" s="1"/>
  <c r="A14" i="11" s="1"/>
  <c r="C36" i="21"/>
  <c r="A13" i="11"/>
  <c r="I7" i="17"/>
  <c r="B2" i="17"/>
  <c r="M2" i="17"/>
  <c r="I9" i="17"/>
  <c r="B4" i="17"/>
  <c r="B5" i="17"/>
  <c r="B3" i="17"/>
  <c r="D2" i="17"/>
  <c r="C15" i="21"/>
  <c r="D8" i="17" l="1"/>
  <c r="H4" i="22"/>
  <c r="C14" i="22"/>
  <c r="C14" i="5"/>
  <c r="I4" i="17" l="1"/>
  <c r="G4" i="17"/>
  <c r="I8" i="17"/>
  <c r="I6" i="17"/>
  <c r="G3" i="17"/>
  <c r="G8" i="17"/>
  <c r="I1" i="17"/>
  <c r="I5" i="17" a="1"/>
  <c r="G5" i="17" a="1"/>
  <c r="G5" i="17" l="1"/>
  <c r="I5" i="17"/>
  <c r="B12" i="17"/>
  <c r="F5" i="13"/>
  <c r="B17" i="17"/>
  <c r="D18" i="17"/>
  <c r="D16" i="17"/>
  <c r="D15" i="17"/>
  <c r="B14" i="17"/>
  <c r="B13" i="17"/>
  <c r="D12" i="17"/>
  <c r="H4" i="11" l="1"/>
  <c r="C17" i="18" l="1"/>
  <c r="C21" i="18" a="1"/>
  <c r="C21" i="18" s="1"/>
  <c r="C18" i="18"/>
  <c r="G14" i="21"/>
  <c r="A20" i="22" l="1"/>
  <c r="G21" i="22" a="1"/>
  <c r="G21" i="22" s="1"/>
  <c r="R2" i="18" l="1"/>
  <c r="J21" i="21"/>
  <c r="K6" i="18"/>
  <c r="G12" i="5" l="1"/>
  <c r="H4" i="5"/>
  <c r="J20" i="11"/>
  <c r="G11" i="5"/>
  <c r="C13" i="21" l="1"/>
  <c r="C14" i="21" s="1"/>
  <c r="G18" i="21"/>
  <c r="G20" i="11" a="1"/>
  <c r="G20" i="11" s="1"/>
  <c r="G6" i="11" a="1"/>
  <c r="B8" i="17" l="1"/>
  <c r="G17" i="11" a="1"/>
  <c r="G17" i="11" s="1"/>
  <c r="G10" i="11"/>
  <c r="B9" i="17" s="1"/>
  <c r="G6" i="11"/>
  <c r="G9" i="21" a="1"/>
  <c r="G9" i="21" s="1"/>
  <c r="G19" i="11" a="1"/>
  <c r="G19" i="11" s="1"/>
  <c r="O19" i="11"/>
  <c r="G16" i="21"/>
  <c r="H6" i="11"/>
  <c r="G23" i="11"/>
  <c r="A16" i="21" l="1"/>
  <c r="G7" i="17"/>
  <c r="G13" i="11" a="1"/>
  <c r="G13" i="11" s="1"/>
  <c r="G13" i="21" a="1"/>
  <c r="G13" i="21" s="1"/>
  <c r="H6" i="21"/>
  <c r="G6" i="21" a="1"/>
  <c r="I19" i="21"/>
  <c r="J19" i="21" l="1"/>
  <c r="G19" i="21" s="1" a="1"/>
  <c r="G19" i="21" s="1"/>
  <c r="G6" i="21"/>
  <c r="H4" i="21"/>
  <c r="G4" i="21" s="1"/>
  <c r="J25" i="11"/>
  <c r="G25" i="11" s="1" a="1"/>
  <c r="G25" i="11" s="1"/>
  <c r="G27" i="11" l="1"/>
  <c r="I23" i="18" l="1"/>
  <c r="I21" i="18"/>
  <c r="I19" i="18"/>
  <c r="I18" i="18"/>
  <c r="C23" i="18"/>
  <c r="C24" i="18" s="1"/>
  <c r="C33" i="18"/>
  <c r="C31" i="18"/>
  <c r="G19" i="5"/>
  <c r="G18" i="5"/>
  <c r="H39" i="5"/>
  <c r="H37" i="5"/>
  <c r="G17" i="22" l="1"/>
  <c r="G16" i="22"/>
  <c r="G15" i="22"/>
  <c r="G14" i="22"/>
  <c r="G12" i="22"/>
  <c r="G11" i="22"/>
  <c r="G7" i="22"/>
  <c r="G35" i="22"/>
  <c r="G33" i="22"/>
  <c r="C27" i="21"/>
  <c r="C29" i="21"/>
  <c r="G26" i="11" l="1"/>
  <c r="G11" i="11"/>
  <c r="O21" i="11"/>
  <c r="E10" i="20"/>
  <c r="I17" i="18" l="1"/>
  <c r="E5" i="18"/>
  <c r="E7" i="18" l="1" a="1"/>
  <c r="E7" i="18" s="1"/>
  <c r="E9" i="18" s="1"/>
  <c r="C19" i="18" s="1"/>
  <c r="E4" i="20" l="1"/>
  <c r="E3" i="20" s="1"/>
  <c r="J12" i="14"/>
  <c r="K8" i="14"/>
  <c r="J8" i="14"/>
  <c r="K6" i="14"/>
  <c r="K4" i="14"/>
  <c r="G14" i="11" s="1" a="1"/>
  <c r="G14" i="11" s="1"/>
  <c r="J4" i="14"/>
  <c r="B14" i="5"/>
  <c r="A11" i="5"/>
  <c r="C11" i="5" s="1"/>
  <c r="D17" i="17" s="1"/>
  <c r="C16" i="21"/>
  <c r="C17" i="21" s="1"/>
  <c r="B15" i="21"/>
  <c r="A10" i="21"/>
  <c r="I7" i="21"/>
  <c r="G7" i="21" s="1"/>
  <c r="H5" i="21"/>
  <c r="G5" i="21" s="1" a="1"/>
  <c r="G5" i="21" s="1"/>
  <c r="J4" i="21"/>
  <c r="A3" i="21"/>
  <c r="J19" i="22"/>
  <c r="I19" i="22"/>
  <c r="B14" i="22"/>
  <c r="C13" i="22"/>
  <c r="A12" i="22"/>
  <c r="C12" i="22" s="1"/>
  <c r="L11" i="22"/>
  <c r="H5" i="22"/>
  <c r="I22" i="11"/>
  <c r="H5" i="11"/>
  <c r="G5" i="11" s="1" a="1"/>
  <c r="G5" i="11" s="1"/>
  <c r="G4" i="11"/>
  <c r="G18" i="22" a="1"/>
  <c r="K43" i="22" a="1"/>
  <c r="G5" i="22" a="1"/>
  <c r="G19" i="22" l="1"/>
  <c r="I8" i="22"/>
  <c r="G3" i="21"/>
  <c r="G9" i="17"/>
  <c r="G20" i="21" a="1"/>
  <c r="G20" i="21" s="1"/>
  <c r="J21" i="22"/>
  <c r="C15" i="22"/>
  <c r="C16" i="22" s="1"/>
  <c r="C18" i="21"/>
  <c r="G18" i="22"/>
  <c r="G4" i="22" a="1"/>
  <c r="G4" i="22" s="1"/>
  <c r="G13" i="22" a="1"/>
  <c r="G13" i="22" s="1"/>
  <c r="G9" i="22" a="1"/>
  <c r="G9" i="22" s="1"/>
  <c r="G6" i="22"/>
  <c r="B18" i="22"/>
  <c r="G5" i="22"/>
  <c r="C12" i="5" a="1"/>
  <c r="C12" i="5" s="1"/>
  <c r="C13" i="5" s="1"/>
  <c r="K43" i="22"/>
  <c r="G22" i="11"/>
  <c r="G10" i="21"/>
  <c r="I20" i="18"/>
  <c r="I24" i="18" s="1"/>
  <c r="I27" i="18" s="1"/>
  <c r="I28" i="18" s="1"/>
  <c r="C18" i="22"/>
  <c r="C20" i="18"/>
  <c r="G17" i="5"/>
  <c r="A15" i="22" l="1"/>
  <c r="G3" i="22"/>
  <c r="G27" i="22" s="1"/>
  <c r="G22" i="22"/>
  <c r="G8" i="22"/>
  <c r="G4" i="5" a="1"/>
  <c r="G4" i="5" s="1"/>
  <c r="B15" i="17"/>
  <c r="C27" i="18"/>
  <c r="C28" i="18" s="1"/>
  <c r="G15" i="5"/>
  <c r="G15" i="21"/>
  <c r="G10" i="17"/>
  <c r="G18" i="11"/>
  <c r="G5" i="5" a="1"/>
  <c r="G9" i="11" a="1"/>
  <c r="G9" i="11" l="1"/>
  <c r="G28" i="11" s="1"/>
  <c r="A7" i="17"/>
  <c r="G24" i="22"/>
  <c r="G26" i="22" s="1"/>
  <c r="G5" i="5"/>
  <c r="G16" i="5"/>
  <c r="B20" i="17" s="1"/>
  <c r="B18" i="17"/>
  <c r="G21" i="5" a="1"/>
  <c r="G21" i="5" s="1"/>
  <c r="G7" i="5" a="1"/>
  <c r="G7" i="5" s="1"/>
  <c r="G14" i="5"/>
  <c r="K7" i="5" a="1"/>
  <c r="K7" i="5" s="1"/>
  <c r="G13" i="5"/>
  <c r="G3" i="11"/>
  <c r="G8" i="5"/>
  <c r="D5" i="17" a="1"/>
  <c r="D5" i="17" l="1"/>
  <c r="G25" i="22"/>
  <c r="G33" i="11"/>
  <c r="G27" i="21"/>
  <c r="G30" i="11"/>
  <c r="D3" i="17" a="1"/>
  <c r="D3" i="17" l="1"/>
  <c r="G21" i="21"/>
  <c r="G24" i="21" s="1"/>
  <c r="G32" i="11"/>
  <c r="G31" i="11"/>
  <c r="H6" i="5" a="1"/>
  <c r="H6" i="5" s="1"/>
  <c r="D4" i="17" a="1"/>
  <c r="I2" i="17" a="1"/>
  <c r="I2" i="17" l="1"/>
  <c r="D4" i="17"/>
  <c r="G26" i="21"/>
  <c r="G25" i="21"/>
  <c r="H24" i="21"/>
  <c r="G6" i="5"/>
  <c r="H5" i="5"/>
  <c r="H8" i="5"/>
  <c r="I3" i="17" a="1"/>
  <c r="I3" i="17" l="1"/>
  <c r="G20" i="5" a="1"/>
  <c r="G20" i="5" s="1"/>
  <c r="C15" i="5"/>
  <c r="C16" i="5" s="1"/>
  <c r="C19" i="17" l="1"/>
  <c r="G3" i="5"/>
  <c r="G24" i="5"/>
  <c r="G23" i="5" l="1"/>
  <c r="G29" i="5" s="1"/>
  <c r="G26" i="5" l="1"/>
  <c r="G27" i="5" s="1"/>
  <c r="D14" i="17" s="1"/>
  <c r="D13" i="17" l="1"/>
  <c r="G2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 P</author>
  </authors>
  <commentList>
    <comment ref="H5" authorId="0" shapeId="0" xr:uid="{A12BD794-42C0-472D-B506-8419A8263FE3}">
      <text>
        <r>
          <rPr>
            <b/>
            <sz val="9"/>
            <color indexed="81"/>
            <rFont val="Segoe UI"/>
            <family val="2"/>
            <charset val="204"/>
          </rPr>
          <t>M P:</t>
        </r>
        <r>
          <rPr>
            <sz val="9"/>
            <color indexed="81"/>
            <rFont val="Segoe UI"/>
            <family val="2"/>
            <charset val="204"/>
          </rPr>
          <t xml:space="preserve">
  -- 1. Изчисляваме цената за цвят --
    цена_цвят; IF(тип="не"; 0; база_цена * цветове_гръб);
 -- 2. Закръгляме тиража --
    тираж_закр; FLOOR.PRECISE(тираж; 100);
 -- 3. Коригираме тиража спрямо типа --
    тираж_коригиран; 
        "½ с обръщ."; тираж_закр / 2; 
        "¼ с обръщ."; тираж_закр / 2; 
        "да"; тираж_закр; 
        "¾"; тираж_закр; 
 -- 4. Относителност спрямо 1000 --
    -- ФИНАЛЕН РЕЗУЛТАТ (Логиката на G5) --
    SWITCH(тип;
        "да";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Yavor Petrov</author>
  </authors>
  <commentList>
    <comment ref="A15" authorId="0" shapeId="0" xr:uid="{9C86F4D6-5F9D-4A95-8DF9-29C46F482EFA}">
      <text>
        <r>
          <rPr>
            <b/>
            <sz val="9"/>
            <color indexed="81"/>
            <rFont val="Segoe UI"/>
            <family val="2"/>
            <charset val="204"/>
          </rPr>
          <t>листа на кола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milena petrova</author>
    <author>Yavor Petrov</author>
  </authors>
  <commentList>
    <comment ref="I5" authorId="0" shapeId="0" xr:uid="{4FDB7AFE-CE10-4E74-9A80-80B5E4169B6A}">
      <text>
        <r>
          <rPr>
            <b/>
            <sz val="9"/>
            <color indexed="81"/>
            <rFont val="Segoe UI"/>
            <family val="2"/>
            <charset val="204"/>
          </rPr>
          <t>milena petrova:</t>
        </r>
        <r>
          <rPr>
            <sz val="9"/>
            <color indexed="81"/>
            <rFont val="Segoe UI"/>
            <family val="2"/>
            <charset val="204"/>
          </rPr>
          <t xml:space="preserve">
дължина на страна по която ще се поставя спиралата в мм</t>
        </r>
      </text>
    </comment>
    <comment ref="S5" authorId="0" shapeId="0" xr:uid="{38DC0194-E31C-4702-9C50-1D5EF752ED92}">
      <text>
        <r>
          <rPr>
            <b/>
            <sz val="9"/>
            <color indexed="81"/>
            <rFont val="Segoe UI"/>
            <family val="2"/>
            <charset val="204"/>
          </rPr>
          <t>milena petrova:</t>
        </r>
        <r>
          <rPr>
            <sz val="9"/>
            <color indexed="81"/>
            <rFont val="Segoe UI"/>
            <family val="2"/>
            <charset val="204"/>
          </rPr>
          <t xml:space="preserve">
увеличение на спирала</t>
        </r>
      </text>
    </comment>
    <comment ref="S6" authorId="0" shapeId="0" xr:uid="{BE83F093-6C81-4DC4-9CD9-5C570F276C99}">
      <text>
        <r>
          <rPr>
            <b/>
            <sz val="9"/>
            <color indexed="81"/>
            <rFont val="Segoe UI"/>
            <family val="2"/>
            <charset val="204"/>
          </rPr>
          <t>milena petrova:</t>
        </r>
        <r>
          <rPr>
            <sz val="9"/>
            <color indexed="81"/>
            <rFont val="Segoe UI"/>
            <family val="2"/>
            <charset val="204"/>
          </rPr>
          <t xml:space="preserve">
увеличение на кукички</t>
        </r>
      </text>
    </comment>
    <comment ref="B11" authorId="1" shapeId="0" xr:uid="{611B6938-DFAB-4E0C-8DE2-9D5826F3330F}">
      <text>
        <r>
          <rPr>
            <b/>
            <sz val="9"/>
            <color indexed="81"/>
            <rFont val="Segoe UI"/>
            <family val="2"/>
            <charset val="204"/>
          </rPr>
          <t>Yavor Petrov:</t>
        </r>
        <r>
          <rPr>
            <sz val="9"/>
            <color indexed="81"/>
            <rFont val="Segoe UI"/>
            <family val="2"/>
            <charset val="204"/>
          </rPr>
          <t xml:space="preserve">
в брой зъби не се задава общия брой, ако са 2 отделни спирали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Natalia Petrova</author>
    <author>Yavor Petrov</author>
    <author>Yavor</author>
  </authors>
  <commentList>
    <comment ref="B3" authorId="0" shapeId="0" xr:uid="{00000000-0006-0000-0700-000001000000}">
      <text>
        <r>
          <rPr>
            <sz val="9"/>
            <color indexed="81"/>
            <rFont val="Tahoma"/>
            <family val="2"/>
            <charset val="204"/>
          </rPr>
          <t>2хА5</t>
        </r>
      </text>
    </comment>
    <comment ref="B4" authorId="1" shapeId="0" xr:uid="{A236887F-80A3-4A4C-AC4D-7F73E3F1D875}">
      <text/>
    </comment>
    <comment ref="B5" authorId="1" shapeId="0" xr:uid="{49680FB3-2EEC-4A0C-BE93-826767D92318}">
      <text/>
    </comment>
    <comment ref="B8" authorId="0" shapeId="0" xr:uid="{00000000-0006-0000-0700-000002000000}">
      <text>
        <r>
          <rPr>
            <sz val="9"/>
            <color indexed="81"/>
            <rFont val="Tahoma"/>
            <family val="2"/>
            <charset val="204"/>
          </rPr>
          <t>2хА5</t>
        </r>
      </text>
    </comment>
    <comment ref="B10" authorId="1" shapeId="0" xr:uid="{4D23E5E7-A772-4F39-A4F7-82843545C42B}">
      <text/>
    </comment>
    <comment ref="B11" authorId="1" shapeId="0" xr:uid="{AF698E13-2763-4D7B-8C92-A52E6696C099}">
      <text/>
    </comment>
    <comment ref="B12" authorId="1" shapeId="0" xr:uid="{6D452FE5-F621-4FD5-8F64-E9340A1B53E1}">
      <text>
        <r>
          <rPr>
            <sz val="9"/>
            <color indexed="81"/>
            <rFont val="Segoe UI"/>
            <family val="2"/>
            <charset val="204"/>
          </rPr>
          <t xml:space="preserve">
</t>
        </r>
      </text>
    </comment>
    <comment ref="B13" authorId="1" shapeId="0" xr:uid="{F198172A-2793-4F00-83F5-C6C2A9C1CE44}">
      <text/>
    </comment>
    <comment ref="B14" authorId="1" shapeId="0" xr:uid="{EEBFC672-4D73-4071-80AF-229B04326345}">
      <text/>
    </comment>
    <comment ref="B15" authorId="1" shapeId="0" xr:uid="{A8F8F0F7-1669-4981-895B-5902EE33C16C}">
      <text/>
    </comment>
    <comment ref="B19" authorId="1" shapeId="0" xr:uid="{5AB5FB11-CA0E-432A-AEB6-C2C72B7EC7E7}">
      <text/>
    </comment>
    <comment ref="B20" authorId="1" shapeId="0" xr:uid="{5AC3D8A5-AAFF-4B0E-8BA0-2E4DC160433C}">
      <text/>
    </comment>
    <comment ref="A30" authorId="2" shapeId="0" xr:uid="{00000000-0006-0000-0700-000006000000}">
      <text>
        <r>
          <rPr>
            <b/>
            <sz val="9"/>
            <color indexed="81"/>
            <rFont val="Tahoma"/>
            <family val="2"/>
            <charset val="204"/>
          </rPr>
          <t>дв. Хром до 130 гр</t>
        </r>
      </text>
    </comment>
    <comment ref="A33" authorId="2" shapeId="0" xr:uid="{00000000-0006-0000-0700-000007000000}">
      <text>
        <r>
          <rPr>
            <b/>
            <sz val="9"/>
            <color indexed="81"/>
            <rFont val="Tahoma"/>
            <family val="2"/>
            <charset val="204"/>
          </rPr>
          <t>в Агресионе дв. хром</t>
        </r>
        <r>
          <rPr>
            <sz val="9"/>
            <color indexed="81"/>
            <rFont val="Tahoma"/>
            <family val="2"/>
            <charset val="204"/>
          </rPr>
          <t xml:space="preserve">
80 гр
130-300 гр</t>
        </r>
      </text>
    </comment>
    <comment ref="A45" authorId="2" shapeId="0" xr:uid="{00000000-0006-0000-0700-000005000000}">
      <text>
        <r>
          <rPr>
            <b/>
            <sz val="9"/>
            <color indexed="81"/>
            <rFont val="Tahoma"/>
            <family val="2"/>
            <charset val="204"/>
          </rPr>
          <t>Yavor:43x61</t>
        </r>
        <r>
          <rPr>
            <sz val="9"/>
            <color indexed="81"/>
            <rFont val="Tahoma"/>
            <family val="2"/>
            <charset val="204"/>
          </rPr>
          <t xml:space="preserve">
химизирана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Natalia Petrova</author>
    <author>Yavor Petrov</author>
    <author>Yavor</author>
  </authors>
  <commentList>
    <comment ref="A6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Natalia Petrova:</t>
        </r>
        <r>
          <rPr>
            <sz val="9"/>
            <color indexed="81"/>
            <rFont val="Tahoma"/>
            <family val="2"/>
            <charset val="204"/>
          </rPr>
          <t xml:space="preserve">
+15 лв подготовка</t>
        </r>
      </text>
    </comment>
    <comment ref="L9" authorId="1" shapeId="0" xr:uid="{78725B49-3CCF-49D6-AA95-35CCDAC54B0D}">
      <text>
        <r>
          <rPr>
            <b/>
            <sz val="9"/>
            <color indexed="81"/>
            <rFont val="Segoe UI"/>
            <family val="2"/>
            <charset val="204"/>
          </rPr>
          <t>Yavor Petrov:</t>
        </r>
        <r>
          <rPr>
            <sz val="9"/>
            <color indexed="81"/>
            <rFont val="Segoe UI"/>
            <family val="2"/>
            <charset val="204"/>
          </rPr>
          <t xml:space="preserve">
има стойности от </t>
        </r>
        <r>
          <rPr>
            <b/>
            <sz val="9"/>
            <color indexed="81"/>
            <rFont val="Segoe UI"/>
            <family val="2"/>
            <charset val="204"/>
          </rPr>
          <t>лист Черно</t>
        </r>
      </text>
    </comment>
    <comment ref="L10" authorId="1" shapeId="0" xr:uid="{D685CE38-F757-4A53-B96F-E6560528ACC2}">
      <text>
        <r>
          <rPr>
            <b/>
            <sz val="9"/>
            <color indexed="81"/>
            <rFont val="Segoe UI"/>
            <family val="2"/>
            <charset val="204"/>
          </rPr>
          <t>Yavor Petrov:</t>
        </r>
        <r>
          <rPr>
            <sz val="9"/>
            <color indexed="81"/>
            <rFont val="Segoe UI"/>
            <family val="2"/>
            <charset val="204"/>
          </rPr>
          <t xml:space="preserve">
има стойности от </t>
        </r>
        <r>
          <rPr>
            <b/>
            <sz val="9"/>
            <color indexed="81"/>
            <rFont val="Segoe UI"/>
            <family val="2"/>
            <charset val="204"/>
          </rPr>
          <t>лист Черно</t>
        </r>
      </text>
    </comment>
    <comment ref="I11" authorId="2" shapeId="0" xr:uid="{00000000-0006-0000-0800-000003000000}">
      <text>
        <r>
          <rPr>
            <b/>
            <sz val="9"/>
            <color indexed="81"/>
            <rFont val="Tahoma"/>
            <family val="2"/>
            <charset val="204"/>
          </rPr>
          <t>Yavor:</t>
        </r>
        <r>
          <rPr>
            <sz val="9"/>
            <color indexed="81"/>
            <rFont val="Tahoma"/>
            <family val="2"/>
            <charset val="204"/>
          </rPr>
          <t xml:space="preserve">
+60 лв подготовка
+5 лв филм</t>
        </r>
      </text>
    </comment>
    <comment ref="A19" authorId="0" shapeId="0" xr:uid="{00000000-0006-0000-0800-000004000000}">
      <text>
        <r>
          <rPr>
            <b/>
            <sz val="9"/>
            <color indexed="81"/>
            <rFont val="Tahoma"/>
            <family val="2"/>
            <charset val="204"/>
          </rPr>
          <t>Natalia Petrova:</t>
        </r>
        <r>
          <rPr>
            <sz val="9"/>
            <color indexed="81"/>
            <rFont val="Tahoma"/>
            <family val="2"/>
            <charset val="204"/>
          </rPr>
          <t xml:space="preserve">
продупчване и завързване на конец през листите на кочан / без лепене на листче върху конеца на гърба на кочана /</t>
        </r>
      </text>
    </comment>
    <comment ref="A20" authorId="0" shapeId="0" xr:uid="{00000000-0006-0000-0800-000005000000}">
      <text>
        <r>
          <rPr>
            <b/>
            <sz val="9"/>
            <color indexed="81"/>
            <rFont val="Tahoma"/>
            <family val="2"/>
            <charset val="204"/>
          </rPr>
          <t>Natalia Petrova:</t>
        </r>
        <r>
          <rPr>
            <sz val="9"/>
            <color indexed="81"/>
            <rFont val="Tahoma"/>
            <family val="2"/>
            <charset val="204"/>
          </rPr>
          <t xml:space="preserve">
с един удар се продупчва 10мм хартия (приблизително 20 бр. етикети - двустранен хром 350г/м2</t>
        </r>
      </text>
    </comment>
    <comment ref="A21" authorId="0" shapeId="0" xr:uid="{00000000-0006-0000-0800-000006000000}">
      <text>
        <r>
          <rPr>
            <b/>
            <sz val="9"/>
            <color indexed="81"/>
            <rFont val="Tahoma"/>
            <family val="2"/>
            <charset val="204"/>
          </rPr>
          <t>Natalia Petrova:</t>
        </r>
        <r>
          <rPr>
            <sz val="9"/>
            <color indexed="81"/>
            <rFont val="Tahoma"/>
            <family val="2"/>
            <charset val="204"/>
          </rPr>
          <t xml:space="preserve">
с един удар се заобля 10мм хартия (приблизително 50бр. календарчета - двустранен хром 350г/м2 с УВ)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<sst xmlns="http://schemas.openxmlformats.org/spreadsheetml/2006/main" count="669" uniqueCount="322">
  <si>
    <t>формат на х-я</t>
  </si>
  <si>
    <t>необрязан размер</t>
  </si>
  <si>
    <t>формат за печат</t>
  </si>
  <si>
    <t>чист тираж</t>
  </si>
  <si>
    <t>цели листа</t>
  </si>
  <si>
    <t>45x32</t>
  </si>
  <si>
    <t>единични бройки</t>
  </si>
  <si>
    <t>размножения на тираж. лист</t>
  </si>
  <si>
    <t>печ. Коли</t>
  </si>
  <si>
    <t>брой страници</t>
  </si>
  <si>
    <t>Цена</t>
  </si>
  <si>
    <t>х-я</t>
  </si>
  <si>
    <t>печат</t>
  </si>
  <si>
    <t>плаки</t>
  </si>
  <si>
    <t>общо</t>
  </si>
  <si>
    <t>1/лист</t>
  </si>
  <si>
    <t>бр</t>
  </si>
  <si>
    <t>рязане</t>
  </si>
  <si>
    <t>CMYK-15 лв/цвят</t>
  </si>
  <si>
    <t>печат-лице/гръб</t>
  </si>
  <si>
    <t>1 цвят/ черно</t>
  </si>
  <si>
    <t>черно с обр.</t>
  </si>
  <si>
    <t>CMYK с обр</t>
  </si>
  <si>
    <t>цветност гръб</t>
  </si>
  <si>
    <t>цветност лице</t>
  </si>
  <si>
    <t>обръщане</t>
  </si>
  <si>
    <t>печат над 1000</t>
  </si>
  <si>
    <t>ддс</t>
  </si>
  <si>
    <t>книжки</t>
  </si>
  <si>
    <t>предпечат</t>
  </si>
  <si>
    <t>размножения на тираж. Лист</t>
  </si>
  <si>
    <t>50x23</t>
  </si>
  <si>
    <t>биговане</t>
  </si>
  <si>
    <t>да</t>
  </si>
  <si>
    <t>не</t>
  </si>
  <si>
    <t>гланц</t>
  </si>
  <si>
    <t>мат</t>
  </si>
  <si>
    <t>гланц дв.</t>
  </si>
  <si>
    <t>мат дв.</t>
  </si>
  <si>
    <t>без</t>
  </si>
  <si>
    <t>щанцоване</t>
  </si>
  <si>
    <t>шиене</t>
  </si>
  <si>
    <t>сгъване</t>
  </si>
  <si>
    <t>набиране</t>
  </si>
  <si>
    <t>лепене</t>
  </si>
  <si>
    <t>кубчета</t>
  </si>
  <si>
    <t>джоб</t>
  </si>
  <si>
    <t>заоб. /замба</t>
  </si>
  <si>
    <t>номерация</t>
  </si>
  <si>
    <t>pass 0000</t>
  </si>
  <si>
    <t>35x33</t>
  </si>
  <si>
    <t>корица</t>
  </si>
  <si>
    <t>32x30</t>
  </si>
  <si>
    <t>70х100</t>
  </si>
  <si>
    <t>64х90</t>
  </si>
  <si>
    <t>50х70</t>
  </si>
  <si>
    <t>35x25</t>
  </si>
  <si>
    <t>35х25*</t>
  </si>
  <si>
    <t>тираж. Листа от лист</t>
  </si>
  <si>
    <t>формат/цял лист</t>
  </si>
  <si>
    <t>формати/печат</t>
  </si>
  <si>
    <t>УВ лак/ламиниране</t>
  </si>
  <si>
    <t>УВ лак/Надпечатен</t>
  </si>
  <si>
    <t>45x21.3</t>
  </si>
  <si>
    <t>изделие</t>
  </si>
  <si>
    <t>други</t>
  </si>
  <si>
    <t>цена</t>
  </si>
  <si>
    <t>знаменца</t>
  </si>
  <si>
    <t>33x23</t>
  </si>
  <si>
    <t>кадифе</t>
  </si>
  <si>
    <t>черно+</t>
  </si>
  <si>
    <t>ценообразуване</t>
  </si>
  <si>
    <t>бр.</t>
  </si>
  <si>
    <t>перфорация</t>
  </si>
  <si>
    <t>¼ с обръщ.</t>
  </si>
  <si>
    <t>50x25</t>
  </si>
  <si>
    <t>кутии</t>
  </si>
  <si>
    <t>частичен</t>
  </si>
  <si>
    <t>60x90</t>
  </si>
  <si>
    <t>за печат</t>
  </si>
  <si>
    <t>тираж/лист</t>
  </si>
  <si>
    <t>½ с обръщ.</t>
  </si>
  <si>
    <t>надпечат.</t>
  </si>
  <si>
    <t>набор</t>
  </si>
  <si>
    <t>хартия</t>
  </si>
  <si>
    <t>тираж + макулатура</t>
  </si>
  <si>
    <t>Ценообразуване</t>
  </si>
  <si>
    <t>ед. Бройка</t>
  </si>
  <si>
    <t>64x94</t>
  </si>
  <si>
    <t>31x21</t>
  </si>
  <si>
    <t>32x21</t>
  </si>
  <si>
    <t>64x88</t>
  </si>
  <si>
    <t>32x29</t>
  </si>
  <si>
    <t>40x30</t>
  </si>
  <si>
    <t>Спирала стъпка 3:1</t>
  </si>
  <si>
    <t>общ брой изделия</t>
  </si>
  <si>
    <t>размер</t>
  </si>
  <si>
    <t>1/4</t>
  </si>
  <si>
    <t>inch</t>
  </si>
  <si>
    <t>mm</t>
  </si>
  <si>
    <t>брой зъби</t>
  </si>
  <si>
    <t>спирала</t>
  </si>
  <si>
    <t>тяло</t>
  </si>
  <si>
    <t>гр.</t>
  </si>
  <si>
    <t>брой листа</t>
  </si>
  <si>
    <t>перфо</t>
  </si>
  <si>
    <t>ед.цена</t>
  </si>
  <si>
    <t>3/16</t>
  </si>
  <si>
    <t>Перфорация за метална спирала 3/1</t>
  </si>
  <si>
    <t>Поставяне на 30 лист/30см 0,10 лв.</t>
  </si>
  <si>
    <t>5/16</t>
  </si>
  <si>
    <t>3/8</t>
  </si>
  <si>
    <t>7/16</t>
  </si>
  <si>
    <t>1/2</t>
  </si>
  <si>
    <t>9/16</t>
  </si>
  <si>
    <t>спирала 3:1</t>
  </si>
  <si>
    <t>Размер mm</t>
  </si>
  <si>
    <t>Размер inch</t>
  </si>
  <si>
    <t>100 листа/0,30 лв</t>
  </si>
  <si>
    <t>затваряне</t>
  </si>
  <si>
    <t>за нарязване/зъб</t>
  </si>
  <si>
    <t>23x17.5</t>
  </si>
  <si>
    <t>22.5x21</t>
  </si>
  <si>
    <t>43x30.5</t>
  </si>
  <si>
    <t>487х330</t>
  </si>
  <si>
    <t>плакат</t>
  </si>
  <si>
    <t>листовки/стикери</t>
  </si>
  <si>
    <t>етикети/визитки</t>
  </si>
  <si>
    <t>ел. монтаж</t>
  </si>
  <si>
    <t>корици</t>
  </si>
  <si>
    <t>отнася се за 1 размножение !!!!!</t>
  </si>
  <si>
    <t>кочани</t>
  </si>
  <si>
    <t>каширане</t>
  </si>
  <si>
    <t>броене/разделяне/лепене/пакетиране</t>
  </si>
  <si>
    <t>клише/преге  х</t>
  </si>
  <si>
    <t>y</t>
  </si>
  <si>
    <t>страниране</t>
  </si>
  <si>
    <t xml:space="preserve"> </t>
  </si>
  <si>
    <t>филм</t>
  </si>
  <si>
    <t>30x20</t>
  </si>
  <si>
    <t>30x20-</t>
  </si>
  <si>
    <t>45x20</t>
  </si>
  <si>
    <t>29x21</t>
  </si>
  <si>
    <t>44x21</t>
  </si>
  <si>
    <t>25x23.3</t>
  </si>
  <si>
    <t>45x30</t>
  </si>
  <si>
    <t>44x32</t>
  </si>
  <si>
    <t>47x32</t>
  </si>
  <si>
    <t>50x35</t>
  </si>
  <si>
    <t>50x35*</t>
  </si>
  <si>
    <t>25x17.5</t>
  </si>
  <si>
    <t>30.5x21.5</t>
  </si>
  <si>
    <t>25x23.3*</t>
  </si>
  <si>
    <t>25x17.5*</t>
  </si>
  <si>
    <t>кадифе дв.</t>
  </si>
  <si>
    <t>а</t>
  </si>
  <si>
    <t>над дв.</t>
  </si>
  <si>
    <t>телчета</t>
  </si>
  <si>
    <t>печалба</t>
  </si>
  <si>
    <t>разходи</t>
  </si>
  <si>
    <t>Ламиниране</t>
  </si>
  <si>
    <t>3 стр. обрязв/рязане</t>
  </si>
  <si>
    <t>химия</t>
  </si>
  <si>
    <t>цвят листа</t>
  </si>
  <si>
    <t>чист тираж/1 цвят</t>
  </si>
  <si>
    <t>цели листа/1 цвят</t>
  </si>
  <si>
    <t>хартия общо цв.</t>
  </si>
  <si>
    <t>пакет от цвят</t>
  </si>
  <si>
    <t>друго</t>
  </si>
  <si>
    <t>обрязан размер</t>
  </si>
  <si>
    <t>ел.монтаж</t>
  </si>
  <si>
    <t>флаери</t>
  </si>
  <si>
    <t>бошура/покана</t>
  </si>
  <si>
    <t>35x20</t>
  </si>
  <si>
    <t>календари</t>
  </si>
  <si>
    <t>разрязване</t>
  </si>
  <si>
    <t>леп. Гръб</t>
  </si>
  <si>
    <t>прозорци</t>
  </si>
  <si>
    <t>пакетиране</t>
  </si>
  <si>
    <t>бр. тела</t>
  </si>
  <si>
    <t>разделители</t>
  </si>
  <si>
    <t>на</t>
  </si>
  <si>
    <t>листа</t>
  </si>
  <si>
    <t>%</t>
  </si>
  <si>
    <r>
      <t xml:space="preserve">ценообразуване </t>
    </r>
    <r>
      <rPr>
        <b/>
        <sz val="11"/>
        <color theme="9" tint="-0.499984740745262"/>
        <rFont val="Arial"/>
        <family val="2"/>
        <charset val="204"/>
      </rPr>
      <t>Иван</t>
    </r>
  </si>
  <si>
    <t>33х17.5</t>
  </si>
  <si>
    <t>0,01/кола</t>
  </si>
  <si>
    <t>60х84</t>
  </si>
  <si>
    <t>42х30</t>
  </si>
  <si>
    <t>30х28</t>
  </si>
  <si>
    <t>61х86</t>
  </si>
  <si>
    <t>43х30.5</t>
  </si>
  <si>
    <t>30.5х28.6</t>
  </si>
  <si>
    <t>смяна на цвят</t>
  </si>
  <si>
    <t>куриер</t>
  </si>
  <si>
    <t>пътни разходи</t>
  </si>
  <si>
    <t>очупване</t>
  </si>
  <si>
    <t>транспорт</t>
  </si>
  <si>
    <t>До формат А3 30 листа 0,12 лв.</t>
  </si>
  <si>
    <t>кукички</t>
  </si>
  <si>
    <t>кукичка до 80 мм - 0,06 лв</t>
  </si>
  <si>
    <t>поставяне на кукичка - 0,12 лв</t>
  </si>
  <si>
    <t>каландър</t>
  </si>
  <si>
    <t>без к</t>
  </si>
  <si>
    <r>
      <rPr>
        <b/>
        <sz val="9"/>
        <color theme="9" tint="-0.249977111117893"/>
        <rFont val="Arial"/>
        <family val="2"/>
        <charset val="204"/>
      </rPr>
      <t>УВ лак</t>
    </r>
    <r>
      <rPr>
        <sz val="9"/>
        <color theme="9" tint="-0.249977111117893"/>
        <rFont val="Arial"/>
        <family val="2"/>
        <charset val="204"/>
      </rPr>
      <t>/Надпечатен</t>
    </r>
  </si>
  <si>
    <t>замба</t>
  </si>
  <si>
    <t>прошнуроване</t>
  </si>
  <si>
    <t>заобляне на ъгли</t>
  </si>
  <si>
    <t>сгъване/биговане</t>
  </si>
  <si>
    <t>¾</t>
  </si>
  <si>
    <t>размножения на тираж. Лист/Лице</t>
  </si>
  <si>
    <t>50x23*</t>
  </si>
  <si>
    <t>тираж + макулатура-1 кола</t>
  </si>
  <si>
    <t>45х25</t>
  </si>
  <si>
    <t>f.64x90</t>
  </si>
  <si>
    <t>спирала и перфо х 2</t>
  </si>
  <si>
    <t>кукичка до 150 мм - 0,09 лв</t>
  </si>
  <si>
    <t>размножения</t>
  </si>
  <si>
    <t>f.60x90</t>
  </si>
  <si>
    <t>f.64x94</t>
  </si>
  <si>
    <t>f.64x88</t>
  </si>
  <si>
    <t>f.70x100</t>
  </si>
  <si>
    <t>f.50x70</t>
  </si>
  <si>
    <t>f.60x84</t>
  </si>
  <si>
    <t>f.61x86</t>
  </si>
  <si>
    <t>бр. листа в кочан/ от цвят</t>
  </si>
  <si>
    <t>30х30</t>
  </si>
  <si>
    <t>част. дв</t>
  </si>
  <si>
    <t>част.обем</t>
  </si>
  <si>
    <t>Hymiya</t>
  </si>
  <si>
    <t>Himiya</t>
  </si>
  <si>
    <t>32х22</t>
  </si>
  <si>
    <t>30.5х21.5</t>
  </si>
  <si>
    <t>43х61</t>
  </si>
  <si>
    <t>43х30.5*</t>
  </si>
  <si>
    <t>30.5х21.5*</t>
  </si>
  <si>
    <t>f.43x61</t>
  </si>
  <si>
    <t>цена за зъб</t>
  </si>
  <si>
    <t>км</t>
  </si>
  <si>
    <t>гориво цена</t>
  </si>
  <si>
    <t>Оскъпяване</t>
  </si>
  <si>
    <t>увеличение</t>
  </si>
  <si>
    <t>минимално</t>
  </si>
  <si>
    <t>А5 H</t>
  </si>
  <si>
    <t>А5 V</t>
  </si>
  <si>
    <t>А4 H</t>
  </si>
  <si>
    <t>А4 V</t>
  </si>
  <si>
    <t>см</t>
  </si>
  <si>
    <t>мм</t>
  </si>
  <si>
    <t>дължина на страна</t>
  </si>
  <si>
    <t>брой</t>
  </si>
  <si>
    <t>зъби</t>
  </si>
  <si>
    <t>бр/зъби</t>
  </si>
  <si>
    <t>дв. Лепяща</t>
  </si>
  <si>
    <t>такса извън стандарт</t>
  </si>
  <si>
    <t>закачане + кукички</t>
  </si>
  <si>
    <t>влагане</t>
  </si>
  <si>
    <t>дублаж</t>
  </si>
  <si>
    <t/>
  </si>
  <si>
    <t>32х22.5</t>
  </si>
  <si>
    <t>вестник</t>
  </si>
  <si>
    <t>1 EUR</t>
  </si>
  <si>
    <t>BGN</t>
  </si>
  <si>
    <t>0,01/удар</t>
  </si>
  <si>
    <t>0,0015/номер</t>
  </si>
  <si>
    <r>
      <t xml:space="preserve">0.25 </t>
    </r>
    <r>
      <rPr>
        <sz val="11"/>
        <color theme="1"/>
        <rFont val="Arial"/>
        <family val="2"/>
        <charset val="204"/>
      </rPr>
      <t>€</t>
    </r>
    <r>
      <rPr>
        <sz val="11"/>
        <color theme="1"/>
        <rFont val="Calibri"/>
        <family val="2"/>
        <charset val="204"/>
        <scheme val="minor"/>
      </rPr>
      <t>/кочан</t>
    </r>
  </si>
  <si>
    <r>
      <t xml:space="preserve">0.01 €/ удар + 2,56 </t>
    </r>
    <r>
      <rPr>
        <sz val="11"/>
        <color theme="1"/>
        <rFont val="Arial"/>
        <family val="2"/>
        <charset val="204"/>
      </rPr>
      <t>€</t>
    </r>
    <r>
      <rPr>
        <sz val="11"/>
        <color theme="1"/>
        <rFont val="Calibri"/>
        <family val="2"/>
        <charset val="204"/>
        <scheme val="minor"/>
      </rPr>
      <t xml:space="preserve"> подготовка на машината</t>
    </r>
  </si>
  <si>
    <t>10,23 €/подготовка</t>
  </si>
  <si>
    <t>0.01 €/ удар + 2,56 € подготовка на машината</t>
  </si>
  <si>
    <t>0,04- цена за слагане на прозорче - Максофт</t>
  </si>
  <si>
    <t>УВ цена €</t>
  </si>
  <si>
    <t>ламин/цена €</t>
  </si>
  <si>
    <t>подготовка €</t>
  </si>
  <si>
    <t>номерация €</t>
  </si>
  <si>
    <t>набор/ химизирана €</t>
  </si>
  <si>
    <t>леп/цена €</t>
  </si>
  <si>
    <t>0,04/лист</t>
  </si>
  <si>
    <t>1,53 €/1000</t>
  </si>
  <si>
    <t>над 1000/ цвят</t>
  </si>
  <si>
    <t>ако, С10 не е цяло число при обръщане + 2,5 €</t>
  </si>
  <si>
    <t>КЛИЕНТ:</t>
  </si>
  <si>
    <t>ИЗДЕЛИЕ:</t>
  </si>
  <si>
    <t>ТИРАЖ:</t>
  </si>
  <si>
    <t>ДАТА:</t>
  </si>
  <si>
    <t>Довършителни работи</t>
  </si>
  <si>
    <t>ЕД. БРОЙКИ</t>
  </si>
  <si>
    <t>ХАРТИЯ:</t>
  </si>
  <si>
    <t>ЦВЕТНОСТ:</t>
  </si>
  <si>
    <t>ЦЕЛИ ЛИСТА</t>
  </si>
  <si>
    <t>ЦЕНА БЕЗ ДДС:</t>
  </si>
  <si>
    <t>ОБРЪЩАНЕ:</t>
  </si>
  <si>
    <t>ОБРЯЗАН РАЗМЕР:</t>
  </si>
  <si>
    <t>цял формат</t>
  </si>
  <si>
    <t>ед. бройка:</t>
  </si>
  <si>
    <t>формат за печат:</t>
  </si>
  <si>
    <t>формат (на х-я):</t>
  </si>
  <si>
    <t>размножения:</t>
  </si>
  <si>
    <t>бр. страници:</t>
  </si>
  <si>
    <t>ПЕЧАТНИ коли:</t>
  </si>
  <si>
    <t>Химия</t>
  </si>
  <si>
    <t>бр. листа в кочан/ от цвят:</t>
  </si>
  <si>
    <t>формат за ПЕЧАТ:</t>
  </si>
  <si>
    <t>бр. ЦВЯТА листа:</t>
  </si>
  <si>
    <t>гр</t>
  </si>
  <si>
    <t>ЕД. БРОЙКИ:</t>
  </si>
  <si>
    <t>офсет</t>
  </si>
  <si>
    <t>броене/ разделяне/ пакетиране</t>
  </si>
  <si>
    <t>полезен грайфер</t>
  </si>
  <si>
    <r>
      <t xml:space="preserve">размер в </t>
    </r>
    <r>
      <rPr>
        <b/>
        <sz val="10"/>
        <color theme="0"/>
        <rFont val="Arial"/>
        <family val="2"/>
        <charset val="204"/>
      </rPr>
      <t>мм</t>
    </r>
    <r>
      <rPr>
        <sz val="10"/>
        <color theme="0"/>
        <rFont val="Arial"/>
        <family val="2"/>
        <charset val="204"/>
      </rPr>
      <t xml:space="preserve"> с Bleed</t>
    </r>
  </si>
  <si>
    <t>Ицо - нова</t>
  </si>
  <si>
    <t>ръчно</t>
  </si>
  <si>
    <t>a4</t>
  </si>
  <si>
    <r>
      <rPr>
        <sz val="8"/>
        <color theme="9" tint="-0.249977111117893"/>
        <rFont val="Arial"/>
        <family val="2"/>
        <charset val="204"/>
      </rPr>
      <t>ръчно</t>
    </r>
    <r>
      <rPr>
        <b/>
        <sz val="10"/>
        <color theme="9" tint="-0.249977111117893"/>
        <rFont val="Arial"/>
        <family val="2"/>
        <charset val="204"/>
      </rPr>
      <t xml:space="preserve"> ↓</t>
    </r>
  </si>
  <si>
    <r>
      <t xml:space="preserve">оптимален формат за печат </t>
    </r>
    <r>
      <rPr>
        <b/>
        <sz val="12"/>
        <color theme="1" tint="0.499984740745262"/>
        <rFont val="Arial"/>
        <family val="2"/>
        <charset val="204"/>
      </rPr>
      <t>↓</t>
    </r>
  </si>
  <si>
    <t>печат /цена</t>
  </si>
  <si>
    <t>листовка</t>
  </si>
  <si>
    <t>Мартин Ева</t>
  </si>
  <si>
    <t>Лили</t>
  </si>
  <si>
    <t>химизирана</t>
  </si>
  <si>
    <t>бр/ перфо /тяло</t>
  </si>
  <si>
    <t>бр/ перфо /общо</t>
  </si>
  <si>
    <t>ОСНОВНИ параметри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</si>
</sst>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лв.&quot;_-;\-* #,##0.00\ &quot;лв.&quot;_-;_-* &quot;-&quot;??\ &quot;лв.&quot;_-;_-@_-"/>
    <numFmt numFmtId="164" formatCode="_-* #,##0.00\ _л_в_._-;\-* #,##0.00\ _л_в_._-;_-* &quot;-&quot;??\ _л_в_._-;_-@_-"/>
    <numFmt numFmtId="165" formatCode="0.0"/>
    <numFmt numFmtId="166" formatCode="0;\-0;;@"/>
    <numFmt numFmtId="167" formatCode="0.000"/>
    <numFmt numFmtId="168" formatCode="#,##0.00\ &quot;лв.&quot;"/>
    <numFmt numFmtId="169" formatCode=";;;"/>
    <numFmt numFmtId="170" formatCode="#,##0.00\ [$€-1]"/>
    <numFmt numFmtId="171" formatCode="_-* #,##0.00\ [$€-1]_-;\-* #,##0.00\ [$€-1]_-;_-* &quot;-&quot;??\ [$€-1]_-;_-@_-"/>
    <numFmt numFmtId="172" formatCode="_-* #,##0.0000\ [$€-1]_-;\-* #,##0.0000\ [$€-1]_-;_-* &quot;-&quot;????\ [$€-1]_-;_-@_-"/>
    <numFmt numFmtId="173" formatCode="_-* #,##0.0\ [$€-1]_-;\-* #,##0.0\ [$€-1]_-;_-* &quot;-&quot;?\ [$€-1]_-;_-@_-"/>
    <numFmt numFmtId="174" formatCode="#,##0.00\ [$€-1];[Red]\-#,##0.00\ [$€-1]"/>
    <numFmt numFmtId="175" formatCode="_-[$€-2]\ * #,##0.0_-;\-[$€-2]\ * #,##0.0_-;_-[$€-2]\ * &quot;-&quot;?_-;_-@_-"/>
    <numFmt numFmtId="176" formatCode="_-* #,##0.0\ &quot;лв.&quot;_-;\-* #,##0.0\ &quot;лв.&quot;_-;_-* &quot;-&quot;?\ &quot;лв.&quot;_-;_-@_-"/>
    <numFmt numFmtId="177" formatCode="_-* #,##0\ [$€-1]_-;\-* #,##0\ [$€-1]_-;_-* &quot;-&quot;\ [$€-1]_-;_-@_-"/>
    <numFmt numFmtId="178" formatCode="_-[$€-2]\ * #,##0.000_-;\-[$€-2]\ * #,##0.000_-;_-[$€-2]\ * &quot;-&quot;???_-;_-@_-"/>
    <numFmt numFmtId="179" formatCode="#,##0\ [$€-1]"/>
    <numFmt numFmtId="180" formatCode="[$€-2]\ #,##0.00"/>
    <numFmt numFmtId="181" formatCode="_-[$€-2]\ * #,##0.0000_-;\-[$€-2]\ * #,##0.0000_-;_-[$€-2]\ * &quot;-&quot;????_-;_-@_-"/>
    <numFmt numFmtId="182" formatCode="_-* #,##0.0\ [$€-1]_-;\-* #,##0.0\ [$€-1]_-;_-* &quot;-&quot;\ [$€-1]_-;_-@_-"/>
    <numFmt numFmtId="183" formatCode="0.00\ \л\в"/>
    <numFmt numFmtId="184" formatCode="#,##0.00\ &quot;€&quot;"/>
    <numFmt numFmtId="185" formatCode="0.0000"/>
    <numFmt numFmtId="186" formatCode="#,##0.0000\ &quot;€&quot;"/>
  </numFmts>
  <fonts count="216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color theme="6" tint="-0.499984740745262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7" tint="-0.249977111117893"/>
      <name val="Calibri"/>
      <family val="2"/>
      <charset val="204"/>
      <scheme val="minor"/>
    </font>
    <font>
      <sz val="11"/>
      <color theme="3" tint="0.39997558519241921"/>
      <name val="Calibri"/>
      <family val="2"/>
      <charset val="204"/>
      <scheme val="minor"/>
    </font>
    <font>
      <sz val="11"/>
      <color theme="7" tint="0.39997558519241921"/>
      <name val="Calibri"/>
      <family val="2"/>
      <charset val="204"/>
      <scheme val="minor"/>
    </font>
    <font>
      <sz val="9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5" tint="-0.499984740745262"/>
      <name val="Calibri"/>
      <family val="2"/>
      <charset val="204"/>
      <scheme val="minor"/>
    </font>
    <font>
      <sz val="11"/>
      <color theme="8" tint="-0.249977111117893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i/>
      <sz val="10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sz val="10"/>
      <name val="Arial"/>
      <family val="2"/>
      <charset val="204"/>
    </font>
    <font>
      <sz val="9"/>
      <color theme="0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theme="0" tint="-0.14999847407452621"/>
      <name val="Arial"/>
      <family val="2"/>
      <charset val="204"/>
    </font>
    <font>
      <sz val="11"/>
      <color theme="0" tint="-0.499984740745262"/>
      <name val="Arial"/>
      <family val="2"/>
      <charset val="204"/>
    </font>
    <font>
      <sz val="10"/>
      <color theme="0" tint="-0.499984740745262"/>
      <name val="Arial"/>
      <family val="2"/>
      <charset val="204"/>
    </font>
    <font>
      <sz val="8"/>
      <color theme="0"/>
      <name val="Arial"/>
      <family val="2"/>
      <charset val="204"/>
    </font>
    <font>
      <b/>
      <sz val="10"/>
      <color theme="1" tint="0.34998626667073579"/>
      <name val="Arial"/>
      <family val="2"/>
      <charset val="204"/>
    </font>
    <font>
      <b/>
      <sz val="9"/>
      <name val="Arial"/>
      <family val="2"/>
      <charset val="204"/>
    </font>
    <font>
      <sz val="11"/>
      <color theme="6"/>
      <name val="Arial"/>
      <family val="2"/>
      <charset val="204"/>
    </font>
    <font>
      <b/>
      <sz val="8"/>
      <color theme="0"/>
      <name val="Arial"/>
      <family val="2"/>
      <charset val="204"/>
    </font>
    <font>
      <sz val="9"/>
      <color theme="0" tint="-0.499984740745262"/>
      <name val="Arial"/>
      <family val="2"/>
      <charset val="204"/>
    </font>
    <font>
      <sz val="9"/>
      <color theme="9" tint="-0.249977111117893"/>
      <name val="Arial"/>
      <family val="2"/>
      <charset val="204"/>
    </font>
    <font>
      <b/>
      <sz val="8"/>
      <color theme="9" tint="-0.249977111117893"/>
      <name val="Arial"/>
      <family val="2"/>
      <charset val="204"/>
    </font>
    <font>
      <sz val="10"/>
      <color theme="9" tint="-0.249977111117893"/>
      <name val="Arial"/>
      <family val="2"/>
      <charset val="204"/>
    </font>
    <font>
      <sz val="11"/>
      <color theme="3" tint="0.39997558519241921"/>
      <name val="Arial"/>
      <family val="2"/>
      <charset val="204"/>
    </font>
    <font>
      <sz val="11"/>
      <color theme="9" tint="-0.249977111117893"/>
      <name val="Arial"/>
      <family val="2"/>
      <charset val="204"/>
    </font>
    <font>
      <i/>
      <sz val="9"/>
      <color theme="9" tint="-0.249977111117893"/>
      <name val="Arial"/>
      <family val="2"/>
      <charset val="204"/>
    </font>
    <font>
      <sz val="8"/>
      <color theme="1" tint="0.34998626667073579"/>
      <name val="Arial"/>
      <family val="2"/>
      <charset val="204"/>
    </font>
    <font>
      <sz val="8"/>
      <color theme="1" tint="0.499984740745262"/>
      <name val="Arial"/>
      <family val="2"/>
      <charset val="204"/>
    </font>
    <font>
      <sz val="8"/>
      <color theme="9" tint="-0.249977111117893"/>
      <name val="Arial"/>
      <family val="2"/>
      <charset val="204"/>
    </font>
    <font>
      <sz val="10"/>
      <color theme="1" tint="0.249977111117893"/>
      <name val="Arial"/>
      <family val="2"/>
      <charset val="204"/>
    </font>
    <font>
      <sz val="10"/>
      <color theme="1" tint="0.34998626667073579"/>
      <name val="Arial"/>
      <family val="2"/>
      <charset val="204"/>
    </font>
    <font>
      <sz val="10"/>
      <color theme="1" tint="0.499984740745262"/>
      <name val="Arial"/>
      <family val="2"/>
      <charset val="204"/>
    </font>
    <font>
      <sz val="9"/>
      <color rgb="FFFF0000"/>
      <name val="Arial"/>
      <family val="2"/>
      <charset val="204"/>
    </font>
    <font>
      <sz val="9"/>
      <color theme="0" tint="-4.9989318521683403E-2"/>
      <name val="Arial"/>
      <family val="2"/>
      <charset val="204"/>
    </font>
    <font>
      <sz val="9"/>
      <color theme="0" tint="-0.249977111117893"/>
      <name val="Arial"/>
      <family val="2"/>
      <charset val="204"/>
    </font>
    <font>
      <sz val="9"/>
      <color theme="0" tint="-0.34998626667073579"/>
      <name val="Arial"/>
      <family val="2"/>
      <charset val="204"/>
    </font>
    <font>
      <sz val="10"/>
      <color theme="0" tint="-0.249977111117893"/>
      <name val="Arial"/>
      <family val="2"/>
      <charset val="204"/>
    </font>
    <font>
      <b/>
      <sz val="10"/>
      <color theme="0"/>
      <name val="Arial"/>
      <family val="2"/>
      <charset val="204"/>
    </font>
    <font>
      <b/>
      <sz val="10"/>
      <color theme="1" tint="0.499984740745262"/>
      <name val="Arial"/>
      <family val="2"/>
      <charset val="204"/>
    </font>
    <font>
      <i/>
      <sz val="9"/>
      <color rgb="FFFF0000"/>
      <name val="Arial"/>
      <family val="2"/>
      <charset val="204"/>
    </font>
    <font>
      <sz val="8"/>
      <color theme="9" tint="-0.24994659260841701"/>
      <name val="Arial"/>
      <family val="2"/>
      <charset val="204"/>
    </font>
    <font>
      <b/>
      <sz val="14"/>
      <color theme="9" tint="-0.249977111117893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11"/>
      <color theme="8" tint="-0.499984740745262"/>
      <name val="Arial"/>
      <family val="2"/>
      <charset val="204"/>
    </font>
    <font>
      <b/>
      <sz val="12"/>
      <color theme="9" tint="-0.249977111117893"/>
      <name val="Arial"/>
      <family val="2"/>
      <charset val="204"/>
    </font>
    <font>
      <sz val="11"/>
      <color theme="8" tint="-0.249977111117893"/>
      <name val="Arial"/>
      <family val="2"/>
      <charset val="204"/>
    </font>
    <font>
      <b/>
      <sz val="10"/>
      <name val="Arial"/>
      <family val="2"/>
      <charset val="204"/>
    </font>
    <font>
      <sz val="11"/>
      <color theme="8" tint="-0.499984740745262"/>
      <name val="Arial"/>
      <family val="2"/>
      <charset val="204"/>
    </font>
    <font>
      <sz val="11"/>
      <color theme="9" tint="0.59999389629810485"/>
      <name val="Arial"/>
      <family val="2"/>
      <charset val="204"/>
    </font>
    <font>
      <b/>
      <sz val="11"/>
      <color theme="9" tint="-0.249977111117893"/>
      <name val="Arial"/>
      <family val="2"/>
      <charset val="204"/>
    </font>
    <font>
      <sz val="9"/>
      <color theme="8" tint="-0.499984740745262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theme="8" tint="-0.499984740745262"/>
      <name val="Arial"/>
      <family val="2"/>
      <charset val="204"/>
    </font>
    <font>
      <b/>
      <sz val="11"/>
      <color theme="9" tint="-0.499984740745262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rgb="FF000000"/>
      <name val="Arial"/>
      <family val="2"/>
      <charset val="204"/>
    </font>
    <font>
      <sz val="10"/>
      <color theme="1"/>
      <name val="Myriad Pro"/>
      <family val="2"/>
    </font>
    <font>
      <b/>
      <i/>
      <sz val="7"/>
      <color theme="9" tint="-0.249977111117893"/>
      <name val="Arial"/>
      <family val="2"/>
      <charset val="204"/>
    </font>
    <font>
      <sz val="11"/>
      <name val="Arial"/>
      <family val="2"/>
      <charset val="204"/>
    </font>
    <font>
      <sz val="11"/>
      <color theme="6" tint="-0.499984740745262"/>
      <name val="Arial"/>
      <family val="2"/>
      <charset val="204"/>
    </font>
    <font>
      <b/>
      <sz val="9"/>
      <color theme="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9"/>
      <color theme="9" tint="-0.249977111117893"/>
      <name val="Arial"/>
      <family val="2"/>
      <charset val="204"/>
    </font>
    <font>
      <sz val="11"/>
      <color theme="6" tint="-0.249977111117893"/>
      <name val="Arial"/>
      <family val="2"/>
      <charset val="204"/>
    </font>
    <font>
      <sz val="8"/>
      <color rgb="FFFF0000"/>
      <name val="Arial"/>
      <family val="2"/>
      <charset val="204"/>
    </font>
    <font>
      <sz val="10"/>
      <color theme="6" tint="-0.499984740745262"/>
      <name val="Arial"/>
      <family val="2"/>
      <charset val="204"/>
    </font>
    <font>
      <sz val="10"/>
      <color theme="6" tint="-0.249977111117893"/>
      <name val="Arial"/>
      <family val="2"/>
      <charset val="204"/>
    </font>
    <font>
      <b/>
      <sz val="11"/>
      <color theme="0"/>
      <name val="Arial"/>
      <family val="2"/>
      <charset val="204"/>
    </font>
    <font>
      <sz val="11"/>
      <color theme="7" tint="-0.249977111117893"/>
      <name val="Arial"/>
      <family val="2"/>
      <charset val="204"/>
    </font>
    <font>
      <i/>
      <sz val="9"/>
      <color theme="7" tint="-0.249977111117893"/>
      <name val="Arial"/>
      <family val="2"/>
      <charset val="204"/>
    </font>
    <font>
      <i/>
      <sz val="10"/>
      <color theme="7" tint="-0.249977111117893"/>
      <name val="Arial"/>
      <family val="2"/>
      <charset val="204"/>
    </font>
    <font>
      <sz val="8"/>
      <color theme="7" tint="-0.249977111117893"/>
      <name val="Arial"/>
      <family val="2"/>
      <charset val="204"/>
    </font>
    <font>
      <sz val="10"/>
      <color theme="7" tint="-0.249977111117893"/>
      <name val="Arial"/>
      <family val="2"/>
      <charset val="204"/>
    </font>
    <font>
      <sz val="11"/>
      <color theme="7" tint="0.59999389629810485"/>
      <name val="Arial"/>
      <family val="2"/>
      <charset val="204"/>
    </font>
    <font>
      <sz val="11"/>
      <color theme="7" tint="0.39997558519241921"/>
      <name val="Arial"/>
      <family val="2"/>
      <charset val="204"/>
    </font>
    <font>
      <sz val="10"/>
      <color theme="7" tint="0.79998168889431442"/>
      <name val="Arial"/>
      <family val="2"/>
      <charset val="204"/>
    </font>
    <font>
      <b/>
      <sz val="10"/>
      <color theme="9" tint="-0.249977111117893"/>
      <name val="Arial"/>
      <family val="2"/>
      <charset val="204"/>
    </font>
    <font>
      <sz val="10"/>
      <color theme="7" tint="0.59999389629810485"/>
      <name val="Arial"/>
      <family val="2"/>
      <charset val="204"/>
    </font>
    <font>
      <i/>
      <sz val="10"/>
      <color theme="9" tint="-0.249977111117893"/>
      <name val="Arial"/>
      <family val="2"/>
      <charset val="204"/>
    </font>
    <font>
      <sz val="10"/>
      <color theme="7" tint="0.39997558519241921"/>
      <name val="Arial"/>
      <family val="2"/>
      <charset val="204"/>
    </font>
    <font>
      <i/>
      <sz val="10"/>
      <color theme="7" tint="0.39997558519241921"/>
      <name val="Arial"/>
      <family val="2"/>
      <charset val="204"/>
    </font>
    <font>
      <sz val="10"/>
      <color theme="0" tint="-4.9989318521683403E-2"/>
      <name val="Arial"/>
      <family val="2"/>
      <charset val="204"/>
    </font>
    <font>
      <sz val="6"/>
      <color theme="7" tint="-0.499984740745262"/>
      <name val="Arial"/>
      <family val="2"/>
      <charset val="204"/>
    </font>
    <font>
      <b/>
      <sz val="10"/>
      <color theme="7" tint="-0.249977111117893"/>
      <name val="Arial"/>
      <family val="2"/>
      <charset val="204"/>
    </font>
    <font>
      <sz val="10"/>
      <color theme="9" tint="-0.499984740745262"/>
      <name val="Arial"/>
      <family val="2"/>
      <charset val="204"/>
    </font>
    <font>
      <i/>
      <sz val="10"/>
      <color theme="9" tint="-0.499984740745262"/>
      <name val="Arial"/>
      <family val="2"/>
      <charset val="204"/>
    </font>
    <font>
      <i/>
      <sz val="11"/>
      <color theme="1"/>
      <name val="Arial"/>
      <family val="2"/>
      <charset val="204"/>
    </font>
    <font>
      <sz val="10"/>
      <color theme="3" tint="0.39997558519241921"/>
      <name val="Arial"/>
      <family val="2"/>
      <charset val="204"/>
    </font>
    <font>
      <sz val="7"/>
      <color theme="1"/>
      <name val="Arial"/>
      <family val="2"/>
      <charset val="204"/>
    </font>
    <font>
      <i/>
      <sz val="10"/>
      <color theme="0"/>
      <name val="Arial"/>
      <family val="2"/>
      <charset val="204"/>
    </font>
    <font>
      <sz val="10"/>
      <color theme="5" tint="-0.249977111117893"/>
      <name val="Arial"/>
      <family val="2"/>
      <charset val="204"/>
    </font>
    <font>
      <b/>
      <sz val="9"/>
      <color theme="1" tint="0.14999847407452621"/>
      <name val="Arial"/>
      <family val="2"/>
      <charset val="204"/>
    </font>
    <font>
      <sz val="9"/>
      <color theme="0" tint="-0.14999847407452621"/>
      <name val="Arial"/>
      <family val="2"/>
      <charset val="204"/>
    </font>
    <font>
      <i/>
      <sz val="8"/>
      <color theme="9" tint="-0.249977111117893"/>
      <name val="Arial"/>
      <family val="2"/>
      <charset val="204"/>
    </font>
    <font>
      <sz val="10"/>
      <color theme="8" tint="-0.249977111117893"/>
      <name val="Arial"/>
      <family val="2"/>
      <charset val="204"/>
    </font>
    <font>
      <b/>
      <sz val="9"/>
      <color theme="1" tint="0.34998626667073579"/>
      <name val="Arial"/>
      <family val="2"/>
      <charset val="204"/>
    </font>
    <font>
      <sz val="10"/>
      <color theme="1" tint="0.14999847407452621"/>
      <name val="Arial"/>
      <family val="2"/>
      <charset val="204"/>
    </font>
    <font>
      <sz val="10"/>
      <color theme="8" tint="0.79998168889431442"/>
      <name val="Arial"/>
      <family val="2"/>
      <charset val="204"/>
    </font>
    <font>
      <b/>
      <sz val="10"/>
      <color theme="1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sz val="8"/>
      <name val="Calibri"/>
      <family val="2"/>
      <charset val="204"/>
      <scheme val="minor"/>
    </font>
    <font>
      <sz val="10"/>
      <color theme="7"/>
      <name val="Arial"/>
      <family val="2"/>
      <charset val="204"/>
    </font>
    <font>
      <i/>
      <sz val="10"/>
      <color theme="8"/>
      <name val="Arial"/>
      <family val="2"/>
      <charset val="204"/>
    </font>
    <font>
      <sz val="8"/>
      <color theme="8" tint="-0.249977111117893"/>
      <name val="Arial"/>
      <family val="2"/>
      <charset val="204"/>
    </font>
    <font>
      <i/>
      <sz val="10"/>
      <color theme="8" tint="-0.499984740745262"/>
      <name val="Arial"/>
      <family val="2"/>
      <charset val="204"/>
    </font>
    <font>
      <sz val="8"/>
      <color theme="8" tint="-0.499984740745262"/>
      <name val="Arial"/>
      <family val="2"/>
      <charset val="204"/>
    </font>
    <font>
      <sz val="10"/>
      <color theme="6"/>
      <name val="Arial"/>
      <family val="2"/>
      <charset val="204"/>
    </font>
    <font>
      <sz val="10"/>
      <color theme="8" tint="0.59999389629810485"/>
      <name val="Arial"/>
      <family val="2"/>
      <charset val="204"/>
    </font>
    <font>
      <sz val="10"/>
      <color theme="8"/>
      <name val="Arial"/>
      <family val="2"/>
      <charset val="204"/>
    </font>
    <font>
      <b/>
      <sz val="10"/>
      <color theme="8" tint="-0.499984740745262"/>
      <name val="Arial"/>
      <family val="2"/>
      <charset val="204"/>
    </font>
    <font>
      <b/>
      <sz val="10"/>
      <color theme="8" tint="-0.249977111117893"/>
      <name val="Arial"/>
      <family val="2"/>
      <charset val="204"/>
    </font>
    <font>
      <sz val="8"/>
      <color theme="8"/>
      <name val="Arial"/>
      <family val="2"/>
      <charset val="204"/>
    </font>
    <font>
      <sz val="8"/>
      <color theme="0" tint="-0.499984740745262"/>
      <name val="Arial"/>
      <family val="2"/>
      <charset val="204"/>
    </font>
    <font>
      <sz val="8"/>
      <color theme="8" tint="-0.499984740745262"/>
      <name val="Arial Narrow"/>
      <family val="2"/>
      <charset val="204"/>
    </font>
    <font>
      <i/>
      <sz val="9"/>
      <color theme="8" tint="-0.249977111117893"/>
      <name val="Arial"/>
      <family val="2"/>
      <charset val="204"/>
    </font>
    <font>
      <i/>
      <sz val="8"/>
      <color theme="7" tint="-0.249977111117893"/>
      <name val="Arial"/>
      <family val="2"/>
      <charset val="204"/>
    </font>
    <font>
      <b/>
      <sz val="9"/>
      <color theme="1"/>
      <name val="Arial"/>
      <family val="2"/>
      <charset val="204"/>
    </font>
    <font>
      <sz val="9"/>
      <color theme="1" tint="0.34998626667073579"/>
      <name val="Arial"/>
      <family val="2"/>
      <charset val="204"/>
    </font>
    <font>
      <b/>
      <sz val="10"/>
      <color theme="8" tint="0.79998168889431442"/>
      <name val="Arial"/>
      <family val="2"/>
      <charset val="204"/>
    </font>
    <font>
      <sz val="10"/>
      <color theme="2" tint="-0.749992370372631"/>
      <name val="Arial"/>
      <family val="2"/>
      <charset val="204"/>
    </font>
    <font>
      <sz val="8"/>
      <color theme="0" tint="-0.14999847407452621"/>
      <name val="Arial"/>
      <family val="2"/>
      <charset val="204"/>
    </font>
    <font>
      <sz val="11"/>
      <color theme="0" tint="-4.9989318521683403E-2"/>
      <name val="Arial"/>
      <family val="2"/>
      <charset val="204"/>
    </font>
    <font>
      <b/>
      <i/>
      <sz val="7"/>
      <color rgb="FFFF0000"/>
      <name val="Arial"/>
      <family val="2"/>
      <charset val="204"/>
    </font>
    <font>
      <b/>
      <sz val="7"/>
      <color theme="0"/>
      <name val="Arial"/>
      <family val="2"/>
      <charset val="204"/>
    </font>
    <font>
      <b/>
      <sz val="10"/>
      <color theme="0" tint="-4.9989318521683403E-2"/>
      <name val="Arial"/>
      <family val="2"/>
      <charset val="204"/>
    </font>
    <font>
      <sz val="10"/>
      <color theme="9"/>
      <name val="Arial"/>
      <family val="2"/>
      <charset val="204"/>
    </font>
    <font>
      <sz val="10"/>
      <color rgb="FFFFC000"/>
      <name val="Arial"/>
      <family val="2"/>
      <charset val="204"/>
    </font>
    <font>
      <sz val="11"/>
      <color rgb="FF00B0F0"/>
      <name val="Calibri"/>
      <family val="2"/>
      <charset val="204"/>
      <scheme val="minor"/>
    </font>
    <font>
      <sz val="9"/>
      <color indexed="81"/>
      <name val="Segoe UI"/>
      <family val="2"/>
      <charset val="204"/>
    </font>
    <font>
      <b/>
      <sz val="18"/>
      <color rgb="FFFF0000"/>
      <name val="Arial"/>
      <family val="2"/>
      <charset val="204"/>
    </font>
    <font>
      <b/>
      <sz val="9"/>
      <color indexed="81"/>
      <name val="Segoe UI"/>
      <family val="2"/>
      <charset val="204"/>
    </font>
    <font>
      <i/>
      <sz val="10"/>
      <color theme="8" tint="0.39997558519241921"/>
      <name val="Arial"/>
      <family val="2"/>
      <charset val="204"/>
    </font>
    <font>
      <sz val="10"/>
      <color theme="9" tint="0.79998168889431442"/>
      <name val="Arial"/>
      <family val="2"/>
      <charset val="204"/>
    </font>
    <font>
      <i/>
      <sz val="10"/>
      <color theme="9" tint="0.59999389629810485"/>
      <name val="Arial"/>
      <family val="2"/>
      <charset val="204"/>
    </font>
    <font>
      <sz val="10"/>
      <color theme="9" tint="0.59999389629810485"/>
      <name val="Arial"/>
      <family val="2"/>
      <charset val="204"/>
    </font>
    <font>
      <i/>
      <sz val="10"/>
      <color theme="9" tint="0.39997558519241921"/>
      <name val="Arial"/>
      <family val="2"/>
      <charset val="204"/>
    </font>
    <font>
      <sz val="10"/>
      <color theme="9" tint="0.39997558519241921"/>
      <name val="Arial"/>
      <family val="2"/>
      <charset val="204"/>
    </font>
    <font>
      <b/>
      <sz val="10"/>
      <color theme="9" tint="0.79998168889431442"/>
      <name val="Arial"/>
      <family val="2"/>
      <charset val="204"/>
    </font>
    <font>
      <b/>
      <sz val="10"/>
      <color theme="9" tint="-0.499984740745262"/>
      <name val="Arial"/>
      <family val="2"/>
      <charset val="204"/>
    </font>
    <font>
      <b/>
      <sz val="9"/>
      <color rgb="FFFF0000"/>
      <name val="Arial"/>
      <family val="2"/>
      <charset val="204"/>
    </font>
    <font>
      <sz val="9"/>
      <color theme="9" tint="0.39997558519241921"/>
      <name val="Arial"/>
      <family val="2"/>
      <charset val="204"/>
    </font>
    <font>
      <b/>
      <sz val="11"/>
      <color theme="9"/>
      <name val="Arial"/>
      <family val="2"/>
      <charset val="204"/>
    </font>
    <font>
      <sz val="11"/>
      <color theme="1"/>
      <name val="AvantiB"/>
      <family val="2"/>
    </font>
    <font>
      <sz val="8"/>
      <color theme="1"/>
      <name val="AvantiB"/>
      <family val="2"/>
    </font>
    <font>
      <i/>
      <sz val="7"/>
      <name val="Arial"/>
      <family val="2"/>
      <charset val="204"/>
    </font>
    <font>
      <b/>
      <sz val="7"/>
      <color theme="7" tint="0.39997558519241921"/>
      <name val="Arial"/>
      <family val="2"/>
      <charset val="204"/>
    </font>
    <font>
      <sz val="9"/>
      <color theme="9" tint="-0.499984740745262"/>
      <name val="Arial"/>
      <family val="2"/>
      <charset val="204"/>
    </font>
    <font>
      <b/>
      <sz val="10"/>
      <color theme="5" tint="-0.249977111117893"/>
      <name val="Arial"/>
      <family val="2"/>
      <charset val="204"/>
    </font>
    <font>
      <b/>
      <sz val="9"/>
      <color theme="9" tint="-0.499984740745262"/>
      <name val="Arial"/>
      <family val="2"/>
      <charset val="204"/>
    </font>
    <font>
      <b/>
      <sz val="11"/>
      <color theme="7" tint="0.39997558519241921"/>
      <name val="Calibri"/>
      <family val="2"/>
      <charset val="204"/>
      <scheme val="minor"/>
    </font>
    <font>
      <sz val="10"/>
      <color theme="7" tint="-0.499984740745262"/>
      <name val="Arial"/>
      <family val="2"/>
      <charset val="204"/>
    </font>
    <font>
      <sz val="9"/>
      <color theme="9" tint="-0.24994659260841701"/>
      <name val="Arial"/>
      <family val="2"/>
      <charset val="204"/>
    </font>
    <font>
      <sz val="9"/>
      <color theme="1" tint="0.499984740745262"/>
      <name val="Arial"/>
      <family val="2"/>
      <charset val="204"/>
    </font>
    <font>
      <i/>
      <sz val="10"/>
      <color theme="1" tint="0.499984740745262"/>
      <name val="Arial"/>
      <family val="2"/>
      <charset val="204"/>
    </font>
    <font>
      <b/>
      <sz val="10"/>
      <color theme="1" tint="0.14999847407452621"/>
      <name val="Arial"/>
      <family val="2"/>
      <charset val="204"/>
    </font>
    <font>
      <sz val="9"/>
      <color theme="9" tint="0.79998168889431442"/>
      <name val="Arial"/>
      <family val="2"/>
      <charset val="204"/>
    </font>
    <font>
      <b/>
      <sz val="11"/>
      <color theme="1"/>
      <name val="Arial Narrow"/>
      <family val="2"/>
      <charset val="204"/>
    </font>
    <font>
      <sz val="8"/>
      <color theme="1" tint="0.249977111117893"/>
      <name val="Arial"/>
      <family val="2"/>
      <charset val="204"/>
    </font>
    <font>
      <b/>
      <sz val="8"/>
      <color theme="7" tint="-0.249977111117893"/>
      <name val="Arial"/>
      <family val="2"/>
      <charset val="204"/>
    </font>
    <font>
      <sz val="11"/>
      <color rgb="FFD01C6D"/>
      <name val="Arial"/>
      <family val="2"/>
      <charset val="204"/>
    </font>
    <font>
      <b/>
      <sz val="10"/>
      <color rgb="FF0070C0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9" tint="-0.499984740745262"/>
      <name val="Arial"/>
      <family val="2"/>
      <charset val="204"/>
    </font>
    <font>
      <b/>
      <sz val="11"/>
      <color theme="7" tint="-0.249977111117893"/>
      <name val="Arial"/>
      <family val="2"/>
      <charset val="204"/>
    </font>
    <font>
      <b/>
      <sz val="11"/>
      <name val="Arial"/>
      <family val="2"/>
      <charset val="204"/>
    </font>
    <font>
      <b/>
      <sz val="11"/>
      <color theme="8" tint="-0.249977111117893"/>
      <name val="Arial"/>
      <family val="2"/>
      <charset val="204"/>
    </font>
    <font>
      <sz val="8"/>
      <color theme="0" tint="-4.9989318521683403E-2"/>
      <name val="Arial"/>
      <family val="2"/>
      <charset val="204"/>
    </font>
    <font>
      <i/>
      <sz val="8"/>
      <color theme="0"/>
      <name val="Arial"/>
      <family val="2"/>
      <charset val="204"/>
    </font>
    <font>
      <i/>
      <sz val="9"/>
      <color theme="1" tint="0.499984740745262"/>
      <name val="Arial"/>
      <family val="2"/>
      <charset val="204"/>
    </font>
    <font>
      <i/>
      <sz val="11"/>
      <color theme="1" tint="0.499984740745262"/>
      <name val="Arial"/>
      <family val="2"/>
      <charset val="204"/>
    </font>
    <font>
      <sz val="11"/>
      <color theme="0" tint="-0.14999847407452621"/>
      <name val="Arial"/>
      <family val="2"/>
      <charset val="204"/>
    </font>
    <font>
      <b/>
      <sz val="11"/>
      <color theme="0" tint="-4.9989318521683403E-2"/>
      <name val="Arial"/>
      <family val="2"/>
      <charset val="204"/>
    </font>
    <font>
      <sz val="11"/>
      <color theme="1" tint="0.249977111117893"/>
      <name val="Arial"/>
      <family val="2"/>
      <charset val="204"/>
    </font>
    <font>
      <sz val="11"/>
      <color theme="8" tint="0.59999389629810485"/>
      <name val="Arial"/>
      <family val="2"/>
      <charset val="204"/>
    </font>
    <font>
      <b/>
      <i/>
      <sz val="10"/>
      <color theme="9" tint="-0.249977111117893"/>
      <name val="Arial"/>
      <family val="2"/>
      <charset val="204"/>
    </font>
    <font>
      <b/>
      <i/>
      <sz val="10"/>
      <color theme="0"/>
      <name val="Arial"/>
      <family val="2"/>
      <charset val="204"/>
    </font>
    <font>
      <b/>
      <sz val="11"/>
      <color rgb="FF0070C0"/>
      <name val="Arial"/>
      <family val="2"/>
      <charset val="204"/>
    </font>
    <font>
      <sz val="11"/>
      <color theme="0" tint="-0.499984740745262"/>
      <name val="Bahnschrift Light SemiCondensed"/>
      <family val="2"/>
      <charset val="204"/>
    </font>
    <font>
      <b/>
      <sz val="12"/>
      <color theme="1" tint="0.499984740745262"/>
      <name val="Arial"/>
      <family val="2"/>
      <charset val="204"/>
    </font>
    <font>
      <i/>
      <sz val="8"/>
      <color theme="9" tint="-0.499984740745262"/>
      <name val="Arial"/>
      <family val="2"/>
      <charset val="204"/>
    </font>
    <font>
      <sz val="7"/>
      <color theme="9" tint="-0.499984740745262"/>
      <name val="Arial"/>
      <family val="2"/>
      <charset val="204"/>
    </font>
    <font>
      <b/>
      <sz val="7"/>
      <color theme="1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 tint="0.39997558519241921"/>
        <bgColor indexed="64"/>
      </patternFill>
    </fill>
  </fills>
  <borders count="134">
    <border>
      <left/>
      <right/>
      <top/>
      <bottom/>
      <diagonal/>
    </border>
    <border>
      <left style="thin">
        <color theme="7" tint="0.39991454817346722"/>
      </left>
      <right style="thin">
        <color theme="7" tint="0.39991454817346722"/>
      </right>
      <top style="thin">
        <color theme="7" tint="0.39988402966399123"/>
      </top>
      <bottom style="thin">
        <color theme="7" tint="0.39988402966399123"/>
      </bottom>
      <diagonal/>
    </border>
    <border>
      <left style="thin">
        <color theme="7" tint="-0.24994659260841701"/>
      </left>
      <right style="thin">
        <color theme="7" tint="0.39991454817346722"/>
      </right>
      <top style="thin">
        <color theme="7" tint="0.39988402966399123"/>
      </top>
      <bottom style="thin">
        <color theme="7" tint="0.39988402966399123"/>
      </bottom>
      <diagonal/>
    </border>
    <border>
      <left style="thin">
        <color theme="7" tint="-0.24994659260841701"/>
      </left>
      <right style="thin">
        <color theme="7" tint="0.39991454817346722"/>
      </right>
      <top style="thin">
        <color theme="7" tint="0.39988402966399123"/>
      </top>
      <bottom style="thin">
        <color theme="7" tint="0.39991454817346722"/>
      </bottom>
      <diagonal/>
    </border>
    <border>
      <left/>
      <right style="thin">
        <color indexed="64"/>
      </right>
      <top/>
      <bottom/>
      <diagonal/>
    </border>
    <border>
      <left style="thin">
        <color theme="7" tint="0.39994506668294322"/>
      </left>
      <right/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7" tint="0.39994506668294322"/>
      </left>
      <right/>
      <top/>
      <bottom style="thin">
        <color theme="7" tint="0.39994506668294322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 style="thin">
        <color theme="9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7" tint="0.39994506668294322"/>
      </left>
      <right/>
      <top style="thin">
        <color theme="7" tint="0.39994506668294322"/>
      </top>
      <bottom style="thin">
        <color theme="7" tint="0.39991454817346722"/>
      </bottom>
      <diagonal/>
    </border>
    <border>
      <left style="thin">
        <color theme="7" tint="0.39994506668294322"/>
      </left>
      <right/>
      <top style="thin">
        <color theme="9" tint="-0.24994659260841701"/>
      </top>
      <bottom style="thin">
        <color theme="7" tint="0.39994506668294322"/>
      </bottom>
      <diagonal/>
    </border>
    <border>
      <left style="thin">
        <color theme="7" tint="0.39994506668294322"/>
      </left>
      <right/>
      <top style="thin">
        <color theme="7" tint="0.39994506668294322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3" tint="0.7999816888943144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-0.24994659260841701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3" tint="0.7999816888943144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9" tint="-0.24994659260841701"/>
      </left>
      <right style="thin">
        <color theme="9"/>
      </right>
      <top style="thin">
        <color theme="9"/>
      </top>
      <bottom/>
      <diagonal/>
    </border>
    <border>
      <left style="thin">
        <color theme="9" tint="-0.24994659260841701"/>
      </left>
      <right style="thin">
        <color theme="9"/>
      </right>
      <top/>
      <bottom style="thin">
        <color theme="9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1" tint="0.499984740745262"/>
      </left>
      <right style="thin">
        <color theme="9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9" tint="-0.24994659260841701"/>
      </right>
      <top/>
      <bottom style="thin">
        <color theme="1" tint="0.49998474074526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/>
      <bottom/>
      <diagonal/>
    </border>
    <border>
      <left style="thin">
        <color theme="8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9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 style="thin">
        <color theme="1" tint="0.499984740745262"/>
      </left>
      <right style="thin">
        <color theme="9" tint="-0.24994659260841701"/>
      </right>
      <top style="thin">
        <color theme="1" tint="0.499984740745262"/>
      </top>
      <bottom/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7" tint="0.79998168889431442"/>
      </left>
      <right style="thin">
        <color theme="7" tint="0.79998168889431442"/>
      </right>
      <top style="thin">
        <color theme="7" tint="0.79998168889431442"/>
      </top>
      <bottom style="thin">
        <color theme="7" tint="0.79998168889431442"/>
      </bottom>
      <diagonal/>
    </border>
    <border>
      <left style="thin">
        <color theme="9" tint="-0.24994659260841701"/>
      </left>
      <right style="thin">
        <color theme="0" tint="-4.9989318521683403E-2"/>
      </right>
      <top style="thin">
        <color theme="0" tint="-0.24994659260841701"/>
      </top>
      <bottom/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9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7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1" tint="0.499984740745262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1" tint="0.499984740745262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0" tint="-0.499984740745262"/>
      </top>
      <bottom style="thick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0.59996337778862885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0.59996337778862885"/>
      </bottom>
      <diagonal/>
    </border>
    <border>
      <left style="thin">
        <color theme="7" tint="0.39994506668294322"/>
      </left>
      <right style="thin">
        <color theme="9" tint="-0.24994659260841701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-0.24994659260841701"/>
      </left>
      <right style="thin">
        <color theme="7" tint="0.39991454817346722"/>
      </right>
      <top/>
      <bottom style="thin">
        <color theme="7" tint="0.39988402966399123"/>
      </bottom>
      <diagonal/>
    </border>
    <border>
      <left/>
      <right/>
      <top/>
      <bottom style="thin">
        <color theme="7" tint="-0.24994659260841701"/>
      </bottom>
      <diagonal/>
    </border>
    <border>
      <left/>
      <right style="thin">
        <color theme="7" tint="-0.24994659260841701"/>
      </right>
      <top/>
      <bottom style="thin">
        <color theme="7" tint="-0.24994659260841701"/>
      </bottom>
      <diagonal/>
    </border>
    <border>
      <left style="thin">
        <color theme="7" tint="-0.24994659260841701"/>
      </left>
      <right/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 style="thin">
        <color theme="7" tint="0.39994506668294322"/>
      </right>
      <top style="thin">
        <color theme="7" tint="0.39988402966399123"/>
      </top>
      <bottom style="thin">
        <color theme="7" tint="0.39988402966399123"/>
      </bottom>
      <diagonal/>
    </border>
    <border>
      <left style="thin">
        <color theme="7" tint="0.39994506668294322"/>
      </left>
      <right/>
      <top/>
      <bottom/>
      <diagonal/>
    </border>
    <border>
      <left/>
      <right/>
      <top style="thin">
        <color theme="9" tint="-0.499984740745262"/>
      </top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 style="thin">
        <color theme="9" tint="-0.499984740745262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/>
      <right style="thin">
        <color theme="9" tint="-0.24994659260841701"/>
      </right>
      <top style="thin">
        <color theme="9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7" tint="0.3999450666829432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7" tint="0.39991454817346722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7" tint="0.39994506668294322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1" tint="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1" tint="0.499984740745262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/>
      <bottom/>
      <diagonal/>
    </border>
    <border>
      <left style="thin">
        <color theme="8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 tint="-0.499984740745262"/>
      </left>
      <right style="thin">
        <color theme="9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0.39994506668294322"/>
      </left>
      <right style="thin">
        <color theme="9" tint="-0.24994659260841701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rgb="FFFDFFE5"/>
      </left>
      <right/>
      <top style="thin">
        <color rgb="FFFDFFE5"/>
      </top>
      <bottom/>
      <diagonal/>
    </border>
    <border>
      <left/>
      <right style="thin">
        <color rgb="FFFDFFE5"/>
      </right>
      <top style="thin">
        <color rgb="FFFDFFE5"/>
      </top>
      <bottom/>
      <diagonal/>
    </border>
    <border>
      <left style="thin">
        <color rgb="FFFDFFE5"/>
      </left>
      <right/>
      <top/>
      <bottom/>
      <diagonal/>
    </border>
    <border>
      <left/>
      <right style="thin">
        <color rgb="FFFDFFE5"/>
      </right>
      <top/>
      <bottom/>
      <diagonal/>
    </border>
    <border>
      <left style="thin">
        <color rgb="FFFDFFE5"/>
      </left>
      <right/>
      <top/>
      <bottom style="thin">
        <color rgb="FFFDFFE5"/>
      </bottom>
      <diagonal/>
    </border>
    <border>
      <left/>
      <right style="thin">
        <color rgb="FFFDFFE5"/>
      </right>
      <top/>
      <bottom style="thin">
        <color rgb="FFFDFFE5"/>
      </bottom>
      <diagonal/>
    </border>
    <border>
      <left/>
      <right/>
      <top style="thin">
        <color rgb="FFFDFFE5"/>
      </top>
      <bottom/>
      <diagonal/>
    </border>
    <border>
      <left/>
      <right/>
      <top/>
      <bottom style="thin">
        <color rgb="FFFDFFE5"/>
      </bottom>
      <diagonal/>
    </border>
    <border>
      <left style="thin">
        <color theme="8" tint="-0.24994659260841701"/>
      </left>
      <right style="thin">
        <color theme="8" tint="-0.24994659260841701"/>
      </right>
      <top style="thick">
        <color theme="8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rgb="FFFDFFE5"/>
      </top>
      <bottom style="thin">
        <color theme="8" tint="-0.24994659260841701"/>
      </bottom>
      <diagonal/>
    </border>
    <border>
      <left style="thin">
        <color theme="7" tint="0.39994506668294322"/>
      </left>
      <right style="thin">
        <color theme="9" tint="-0.24994659260841701"/>
      </right>
      <top style="thin">
        <color theme="7" tint="0.39994506668294322"/>
      </top>
      <bottom/>
      <diagonal/>
    </border>
    <border>
      <left style="thin">
        <color theme="7" tint="0.39991454817346722"/>
      </left>
      <right/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88402966399123"/>
      </left>
      <right/>
      <top style="thin">
        <color theme="7" tint="0.39991454817346722"/>
      </top>
      <bottom style="thin">
        <color theme="7" tint="0.39988402966399123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9"/>
      </right>
      <top/>
      <bottom/>
      <diagonal/>
    </border>
    <border>
      <left style="thin">
        <color theme="0" tint="-0.499984740745262"/>
      </left>
      <right style="thin">
        <color theme="9" tint="-0.24994659260841701"/>
      </right>
      <top/>
      <bottom style="thin">
        <color theme="9" tint="-0.24994659260841701"/>
      </bottom>
      <diagonal/>
    </border>
    <border>
      <left style="thin">
        <color theme="0" tint="-0.499984740745262"/>
      </left>
      <right style="thin">
        <color theme="9" tint="-0.24994659260841701"/>
      </right>
      <top style="thin">
        <color theme="0" tint="-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7" tint="0.39988402966399123"/>
      </left>
      <right style="thin">
        <color theme="7" tint="0.39988402966399123"/>
      </right>
      <top style="thin">
        <color theme="7" tint="0.39991454817346722"/>
      </top>
      <bottom style="thin">
        <color theme="9" tint="-0.24994659260841701"/>
      </bottom>
      <diagonal/>
    </border>
    <border>
      <left style="thin">
        <color theme="0" tint="-0.34998626667073579"/>
      </left>
      <right style="thin">
        <color theme="9" tint="-0.24994659260841701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1" tint="0.499984740745262"/>
      </left>
      <right/>
      <top style="thin">
        <color theme="0" tint="-0.499984740745262"/>
      </top>
      <bottom style="thin">
        <color theme="1" tint="0.499984740745262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8" tint="0.39991454817346722"/>
      </left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/>
      <right style="thin">
        <color theme="9" tint="0.59996337778862885"/>
      </right>
      <top style="thin">
        <color theme="9" tint="0.39997558519241921"/>
      </top>
      <bottom style="thin">
        <color theme="9" tint="0.39994506668294322"/>
      </bottom>
      <diagonal/>
    </border>
    <border>
      <left/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-0.24994659260841701"/>
      </left>
      <right style="thin">
        <color theme="0" tint="-0.499984740745262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7" tint="0.39994506668294322"/>
      </left>
      <right style="thin">
        <color theme="9"/>
      </right>
      <top style="thin">
        <color theme="7" tint="0.39994506668294322"/>
      </top>
      <bottom style="thin">
        <color theme="7" tint="0.39994506668294322"/>
      </bottom>
      <diagonal/>
    </border>
    <border>
      <left/>
      <right style="thin">
        <color theme="3" tint="0.39994506668294322"/>
      </right>
      <top/>
      <bottom/>
      <diagonal/>
    </border>
    <border>
      <left style="thin">
        <color theme="9" tint="-0.24994659260841701"/>
      </left>
      <right style="thin">
        <color theme="3" tint="0.39994506668294322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3" tint="0.39994506668294322"/>
      </top>
      <bottom style="thin">
        <color theme="9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6">
    <xf numFmtId="0" fontId="0" fillId="0" borderId="0"/>
    <xf numFmtId="164" fontId="27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44" fontId="27" fillId="0" borderId="0" applyFont="0" applyFill="0" applyBorder="0" applyAlignment="0" applyProtection="0"/>
  </cellStyleXfs>
  <cellXfs count="896">
    <xf numFmtId="0" fontId="0" fillId="0" borderId="0" xfId="0"/>
    <xf numFmtId="0" fontId="19" fillId="0" borderId="0" xfId="0" applyFont="1"/>
    <xf numFmtId="1" fontId="0" fillId="0" borderId="0" xfId="0" applyNumberFormat="1"/>
    <xf numFmtId="0" fontId="28" fillId="0" borderId="0" xfId="2"/>
    <xf numFmtId="0" fontId="0" fillId="0" borderId="0" xfId="0" applyAlignment="1">
      <alignment vertical="center"/>
    </xf>
    <xf numFmtId="0" fontId="2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6" fillId="0" borderId="0" xfId="0" applyFont="1" applyAlignment="1">
      <alignment vertical="center" textRotation="45"/>
    </xf>
    <xf numFmtId="0" fontId="18" fillId="0" borderId="0" xfId="0" applyFont="1" applyAlignment="1">
      <alignment textRotation="45"/>
    </xf>
    <xf numFmtId="0" fontId="22" fillId="0" borderId="0" xfId="0" applyFont="1" applyAlignment="1">
      <alignment textRotation="45"/>
    </xf>
    <xf numFmtId="0" fontId="0" fillId="0" borderId="0" xfId="0" applyAlignment="1">
      <alignment textRotation="45"/>
    </xf>
    <xf numFmtId="0" fontId="31" fillId="0" borderId="0" xfId="0" applyFont="1"/>
    <xf numFmtId="165" fontId="31" fillId="0" borderId="0" xfId="0" applyNumberFormat="1" applyFont="1"/>
    <xf numFmtId="0" fontId="33" fillId="0" borderId="0" xfId="0" applyFont="1"/>
    <xf numFmtId="0" fontId="32" fillId="0" borderId="0" xfId="0" applyFont="1"/>
    <xf numFmtId="0" fontId="34" fillId="8" borderId="0" xfId="0" applyFont="1" applyFill="1" applyAlignment="1">
      <alignment horizontal="center" vertical="center" wrapText="1"/>
    </xf>
    <xf numFmtId="0" fontId="35" fillId="0" borderId="0" xfId="0" applyFont="1" applyAlignment="1">
      <alignment horizontal="center"/>
    </xf>
    <xf numFmtId="0" fontId="45" fillId="0" borderId="0" xfId="0" applyFont="1" applyAlignment="1">
      <alignment horizontal="right"/>
    </xf>
    <xf numFmtId="0" fontId="47" fillId="0" borderId="0" xfId="0" applyFont="1" applyProtection="1">
      <protection hidden="1"/>
    </xf>
    <xf numFmtId="0" fontId="38" fillId="0" borderId="38" xfId="0" applyFont="1" applyBorder="1"/>
    <xf numFmtId="0" fontId="53" fillId="0" borderId="0" xfId="0" applyFont="1" applyProtection="1">
      <protection hidden="1"/>
    </xf>
    <xf numFmtId="0" fontId="37" fillId="0" borderId="0" xfId="0" applyFont="1"/>
    <xf numFmtId="0" fontId="55" fillId="0" borderId="0" xfId="0" applyFont="1" applyProtection="1">
      <protection hidden="1"/>
    </xf>
    <xf numFmtId="0" fontId="56" fillId="0" borderId="0" xfId="0" applyFont="1" applyAlignment="1">
      <alignment horizontal="right"/>
    </xf>
    <xf numFmtId="0" fontId="57" fillId="0" borderId="0" xfId="0" applyFont="1" applyAlignment="1">
      <alignment horizontal="right"/>
    </xf>
    <xf numFmtId="2" fontId="38" fillId="8" borderId="27" xfId="0" applyNumberFormat="1" applyFont="1" applyFill="1" applyBorder="1"/>
    <xf numFmtId="2" fontId="38" fillId="0" borderId="28" xfId="0" applyNumberFormat="1" applyFont="1" applyBorder="1"/>
    <xf numFmtId="167" fontId="62" fillId="3" borderId="31" xfId="0" applyNumberFormat="1" applyFont="1" applyFill="1" applyBorder="1" applyProtection="1">
      <protection locked="0"/>
    </xf>
    <xf numFmtId="0" fontId="33" fillId="16" borderId="32" xfId="0" applyFont="1" applyFill="1" applyBorder="1"/>
    <xf numFmtId="0" fontId="63" fillId="0" borderId="0" xfId="0" applyFont="1"/>
    <xf numFmtId="0" fontId="52" fillId="3" borderId="30" xfId="0" applyFont="1" applyFill="1" applyBorder="1" applyAlignment="1" applyProtection="1">
      <alignment horizontal="right"/>
      <protection locked="0"/>
    </xf>
    <xf numFmtId="0" fontId="40" fillId="11" borderId="25" xfId="0" applyFont="1" applyFill="1" applyBorder="1" applyAlignment="1">
      <alignment horizontal="left"/>
    </xf>
    <xf numFmtId="0" fontId="58" fillId="3" borderId="37" xfId="0" applyFont="1" applyFill="1" applyBorder="1" applyAlignment="1" applyProtection="1">
      <alignment horizontal="right"/>
      <protection locked="0"/>
    </xf>
    <xf numFmtId="0" fontId="58" fillId="3" borderId="7" xfId="0" applyFont="1" applyFill="1" applyBorder="1" applyAlignment="1" applyProtection="1">
      <alignment horizontal="right" vertical="center"/>
      <protection locked="0"/>
    </xf>
    <xf numFmtId="0" fontId="58" fillId="3" borderId="9" xfId="0" applyFont="1" applyFill="1" applyBorder="1" applyAlignment="1" applyProtection="1">
      <alignment horizontal="right" vertical="center"/>
      <protection locked="0"/>
    </xf>
    <xf numFmtId="0" fontId="35" fillId="0" borderId="0" xfId="0" applyFont="1"/>
    <xf numFmtId="0" fontId="41" fillId="0" borderId="0" xfId="0" applyFont="1"/>
    <xf numFmtId="2" fontId="45" fillId="0" borderId="0" xfId="0" applyNumberFormat="1" applyFont="1" applyAlignment="1">
      <alignment horizontal="right"/>
    </xf>
    <xf numFmtId="0" fontId="60" fillId="0" borderId="0" xfId="0" applyFont="1" applyAlignment="1">
      <alignment horizontal="right"/>
    </xf>
    <xf numFmtId="0" fontId="36" fillId="0" borderId="0" xfId="0" applyFont="1" applyAlignment="1">
      <alignment horizontal="left"/>
    </xf>
    <xf numFmtId="0" fontId="72" fillId="0" borderId="0" xfId="0" applyFont="1" applyAlignment="1">
      <alignment horizontal="right"/>
    </xf>
    <xf numFmtId="0" fontId="73" fillId="0" borderId="0" xfId="0" applyFont="1" applyAlignment="1">
      <alignment horizontal="right"/>
    </xf>
    <xf numFmtId="0" fontId="75" fillId="0" borderId="0" xfId="0" applyFont="1"/>
    <xf numFmtId="0" fontId="31" fillId="0" borderId="0" xfId="0" applyFont="1" applyAlignment="1">
      <alignment horizontal="right"/>
    </xf>
    <xf numFmtId="165" fontId="77" fillId="0" borderId="0" xfId="0" applyNumberFormat="1" applyFont="1"/>
    <xf numFmtId="0" fontId="33" fillId="0" borderId="0" xfId="0" applyFont="1" applyAlignment="1">
      <alignment horizontal="right"/>
    </xf>
    <xf numFmtId="0" fontId="78" fillId="15" borderId="0" xfId="0" applyFont="1" applyFill="1"/>
    <xf numFmtId="0" fontId="80" fillId="0" borderId="0" xfId="0" applyFont="1"/>
    <xf numFmtId="0" fontId="31" fillId="6" borderId="40" xfId="0" applyFont="1" applyFill="1" applyBorder="1"/>
    <xf numFmtId="0" fontId="77" fillId="0" borderId="0" xfId="0" applyFont="1" applyAlignment="1">
      <alignment horizontal="right"/>
    </xf>
    <xf numFmtId="2" fontId="77" fillId="0" borderId="0" xfId="0" applyNumberFormat="1" applyFont="1"/>
    <xf numFmtId="0" fontId="81" fillId="0" borderId="0" xfId="0" applyFont="1"/>
    <xf numFmtId="2" fontId="60" fillId="0" borderId="0" xfId="0" applyNumberFormat="1" applyFont="1" applyAlignment="1">
      <alignment horizontal="right"/>
    </xf>
    <xf numFmtId="0" fontId="33" fillId="6" borderId="40" xfId="0" applyFont="1" applyFill="1" applyBorder="1"/>
    <xf numFmtId="0" fontId="31" fillId="2" borderId="0" xfId="0" applyFont="1" applyFill="1"/>
    <xf numFmtId="0" fontId="82" fillId="2" borderId="0" xfId="0" applyFont="1" applyFill="1" applyAlignment="1">
      <alignment horizontal="right"/>
    </xf>
    <xf numFmtId="0" fontId="82" fillId="0" borderId="0" xfId="0" applyFont="1" applyAlignment="1">
      <alignment horizontal="right"/>
    </xf>
    <xf numFmtId="0" fontId="31" fillId="0" borderId="0" xfId="0" applyFont="1" applyAlignment="1">
      <alignment horizontal="center"/>
    </xf>
    <xf numFmtId="49" fontId="46" fillId="6" borderId="41" xfId="0" applyNumberFormat="1" applyFont="1" applyFill="1" applyBorder="1" applyAlignment="1">
      <alignment horizontal="center"/>
    </xf>
    <xf numFmtId="0" fontId="72" fillId="3" borderId="7" xfId="0" applyFont="1" applyFill="1" applyBorder="1" applyAlignment="1">
      <alignment horizontal="center"/>
    </xf>
    <xf numFmtId="0" fontId="86" fillId="18" borderId="7" xfId="0" applyFont="1" applyFill="1" applyBorder="1" applyAlignment="1">
      <alignment horizontal="right"/>
    </xf>
    <xf numFmtId="0" fontId="86" fillId="3" borderId="7" xfId="0" applyFont="1" applyFill="1" applyBorder="1" applyAlignment="1">
      <alignment horizontal="center"/>
    </xf>
    <xf numFmtId="0" fontId="86" fillId="3" borderId="7" xfId="0" applyFont="1" applyFill="1" applyBorder="1" applyAlignment="1">
      <alignment horizontal="left"/>
    </xf>
    <xf numFmtId="0" fontId="87" fillId="0" borderId="0" xfId="0" applyFont="1"/>
    <xf numFmtId="0" fontId="88" fillId="0" borderId="0" xfId="0" applyFont="1"/>
    <xf numFmtId="0" fontId="76" fillId="0" borderId="41" xfId="0" applyFont="1" applyBorder="1" applyAlignment="1">
      <alignment horizontal="center" vertical="center"/>
    </xf>
    <xf numFmtId="0" fontId="76" fillId="6" borderId="41" xfId="0" applyFont="1" applyFill="1" applyBorder="1" applyAlignment="1">
      <alignment horizontal="center" vertical="center"/>
    </xf>
    <xf numFmtId="0" fontId="76" fillId="8" borderId="41" xfId="0" applyFont="1" applyFill="1" applyBorder="1" applyAlignment="1">
      <alignment horizontal="center" vertical="center"/>
    </xf>
    <xf numFmtId="0" fontId="89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9" fontId="26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17" fillId="0" borderId="0" xfId="0" applyFont="1" applyAlignment="1">
      <alignment horizontal="center" vertical="center" wrapText="1"/>
    </xf>
    <xf numFmtId="0" fontId="58" fillId="3" borderId="7" xfId="0" applyFont="1" applyFill="1" applyBorder="1" applyProtection="1">
      <protection locked="0"/>
    </xf>
    <xf numFmtId="0" fontId="70" fillId="3" borderId="7" xfId="0" applyFont="1" applyFill="1" applyBorder="1" applyAlignment="1" applyProtection="1">
      <alignment horizontal="right"/>
      <protection locked="0"/>
    </xf>
    <xf numFmtId="0" fontId="58" fillId="3" borderId="9" xfId="0" applyFont="1" applyFill="1" applyBorder="1" applyAlignment="1" applyProtection="1">
      <alignment horizontal="right" vertical="center" wrapText="1"/>
      <protection locked="0"/>
    </xf>
    <xf numFmtId="49" fontId="51" fillId="3" borderId="7" xfId="0" applyNumberFormat="1" applyFont="1" applyFill="1" applyBorder="1" applyAlignment="1" applyProtection="1">
      <alignment horizontal="right" vertical="center"/>
      <protection locked="0"/>
    </xf>
    <xf numFmtId="49" fontId="52" fillId="3" borderId="29" xfId="0" applyNumberFormat="1" applyFont="1" applyFill="1" applyBorder="1" applyAlignment="1" applyProtection="1">
      <alignment horizontal="center"/>
      <protection locked="0"/>
    </xf>
    <xf numFmtId="0" fontId="54" fillId="0" borderId="0" xfId="0" applyFont="1" applyProtection="1">
      <protection locked="0"/>
    </xf>
    <xf numFmtId="2" fontId="69" fillId="3" borderId="6" xfId="0" applyNumberFormat="1" applyFont="1" applyFill="1" applyBorder="1" applyAlignment="1" applyProtection="1">
      <alignment horizontal="center"/>
      <protection locked="0"/>
    </xf>
    <xf numFmtId="0" fontId="58" fillId="3" borderId="7" xfId="0" applyFont="1" applyFill="1" applyBorder="1" applyAlignment="1" applyProtection="1">
      <alignment horizontal="right"/>
      <protection locked="0"/>
    </xf>
    <xf numFmtId="0" fontId="52" fillId="3" borderId="15" xfId="0" applyFont="1" applyFill="1" applyBorder="1" applyProtection="1">
      <protection locked="0"/>
    </xf>
    <xf numFmtId="0" fontId="52" fillId="3" borderId="7" xfId="0" applyFont="1" applyFill="1" applyBorder="1" applyProtection="1">
      <protection locked="0"/>
    </xf>
    <xf numFmtId="0" fontId="92" fillId="0" borderId="0" xfId="0" applyFont="1" applyAlignment="1">
      <alignment horizontal="right"/>
    </xf>
    <xf numFmtId="0" fontId="37" fillId="0" borderId="0" xfId="0" applyFont="1" applyAlignment="1">
      <alignment horizontal="right"/>
    </xf>
    <xf numFmtId="0" fontId="98" fillId="0" borderId="0" xfId="0" applyFont="1" applyAlignment="1">
      <alignment horizontal="right"/>
    </xf>
    <xf numFmtId="0" fontId="58" fillId="3" borderId="7" xfId="0" applyFont="1" applyFill="1" applyBorder="1" applyAlignment="1" applyProtection="1">
      <alignment horizontal="right" vertical="center" wrapText="1"/>
      <protection locked="0"/>
    </xf>
    <xf numFmtId="0" fontId="101" fillId="0" borderId="0" xfId="0" applyFont="1"/>
    <xf numFmtId="0" fontId="14" fillId="0" borderId="0" xfId="0" applyFont="1"/>
    <xf numFmtId="0" fontId="101" fillId="4" borderId="0" xfId="0" applyFont="1" applyFill="1" applyAlignment="1">
      <alignment horizontal="right"/>
    </xf>
    <xf numFmtId="0" fontId="101" fillId="4" borderId="0" xfId="0" applyFont="1" applyFill="1" applyAlignment="1">
      <alignment horizontal="left"/>
    </xf>
    <xf numFmtId="0" fontId="54" fillId="0" borderId="0" xfId="0" applyFont="1"/>
    <xf numFmtId="0" fontId="102" fillId="0" borderId="0" xfId="0" applyFont="1" applyAlignment="1">
      <alignment horizontal="center"/>
    </xf>
    <xf numFmtId="0" fontId="103" fillId="0" borderId="0" xfId="0" applyFont="1" applyAlignment="1">
      <alignment horizontal="right"/>
    </xf>
    <xf numFmtId="2" fontId="31" fillId="0" borderId="0" xfId="0" applyNumberFormat="1" applyFont="1"/>
    <xf numFmtId="0" fontId="104" fillId="0" borderId="0" xfId="0" applyFont="1" applyAlignment="1">
      <alignment horizontal="right"/>
    </xf>
    <xf numFmtId="0" fontId="103" fillId="4" borderId="13" xfId="0" applyFont="1" applyFill="1" applyBorder="1" applyAlignment="1">
      <alignment horizontal="right" vertical="center"/>
    </xf>
    <xf numFmtId="0" fontId="105" fillId="0" borderId="23" xfId="0" applyFont="1" applyBorder="1" applyAlignment="1">
      <alignment horizontal="right" vertical="center"/>
    </xf>
    <xf numFmtId="0" fontId="33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0" fontId="81" fillId="2" borderId="0" xfId="0" applyFont="1" applyFill="1" applyAlignment="1">
      <alignment wrapText="1"/>
    </xf>
    <xf numFmtId="0" fontId="101" fillId="2" borderId="0" xfId="0" applyFont="1" applyFill="1" applyAlignment="1">
      <alignment horizontal="right"/>
    </xf>
    <xf numFmtId="0" fontId="101" fillId="0" borderId="0" xfId="0" applyFont="1" applyAlignment="1">
      <alignment horizontal="left"/>
    </xf>
    <xf numFmtId="0" fontId="96" fillId="0" borderId="0" xfId="0" applyFont="1"/>
    <xf numFmtId="0" fontId="107" fillId="0" borderId="0" xfId="0" applyFont="1"/>
    <xf numFmtId="16" fontId="31" fillId="0" borderId="0" xfId="0" applyNumberFormat="1" applyFont="1"/>
    <xf numFmtId="0" fontId="81" fillId="0" borderId="0" xfId="0" applyFont="1" applyAlignment="1">
      <alignment horizontal="right"/>
    </xf>
    <xf numFmtId="2" fontId="106" fillId="0" borderId="0" xfId="0" applyNumberFormat="1" applyFont="1" applyProtection="1">
      <protection locked="0"/>
    </xf>
    <xf numFmtId="0" fontId="106" fillId="0" borderId="0" xfId="0" applyFont="1"/>
    <xf numFmtId="0" fontId="31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168" fontId="85" fillId="0" borderId="0" xfId="0" applyNumberFormat="1" applyFont="1" applyAlignment="1">
      <alignment horizontal="center" vertical="center"/>
    </xf>
    <xf numFmtId="168" fontId="85" fillId="0" borderId="0" xfId="0" applyNumberFormat="1" applyFont="1" applyAlignment="1">
      <alignment horizontal="center"/>
    </xf>
    <xf numFmtId="0" fontId="14" fillId="4" borderId="12" xfId="0" applyFont="1" applyFill="1" applyBorder="1"/>
    <xf numFmtId="0" fontId="105" fillId="4" borderId="11" xfId="0" applyFont="1" applyFill="1" applyBorder="1" applyAlignment="1">
      <alignment horizontal="right" vertical="center"/>
    </xf>
    <xf numFmtId="49" fontId="52" fillId="3" borderId="29" xfId="0" applyNumberFormat="1" applyFont="1" applyFill="1" applyBorder="1" applyAlignment="1">
      <alignment horizontal="center"/>
    </xf>
    <xf numFmtId="0" fontId="14" fillId="2" borderId="12" xfId="0" applyFont="1" applyFill="1" applyBorder="1"/>
    <xf numFmtId="0" fontId="105" fillId="2" borderId="12" xfId="0" applyFont="1" applyFill="1" applyBorder="1" applyAlignment="1">
      <alignment horizontal="right" vertical="center"/>
    </xf>
    <xf numFmtId="0" fontId="52" fillId="0" borderId="7" xfId="0" applyFont="1" applyBorder="1" applyAlignment="1">
      <alignment horizontal="right"/>
    </xf>
    <xf numFmtId="0" fontId="14" fillId="4" borderId="0" xfId="0" applyFont="1" applyFill="1"/>
    <xf numFmtId="0" fontId="105" fillId="4" borderId="0" xfId="0" applyFont="1" applyFill="1" applyAlignment="1">
      <alignment horizontal="right" vertical="center"/>
    </xf>
    <xf numFmtId="2" fontId="52" fillId="3" borderId="7" xfId="0" applyNumberFormat="1" applyFont="1" applyFill="1" applyBorder="1" applyAlignment="1">
      <alignment horizontal="right" vertical="center"/>
    </xf>
    <xf numFmtId="0" fontId="105" fillId="2" borderId="13" xfId="0" applyFont="1" applyFill="1" applyBorder="1" applyAlignment="1">
      <alignment horizontal="right" vertical="center"/>
    </xf>
    <xf numFmtId="0" fontId="105" fillId="4" borderId="0" xfId="0" applyFont="1" applyFill="1" applyAlignment="1">
      <alignment horizontal="right"/>
    </xf>
    <xf numFmtId="0" fontId="52" fillId="3" borderId="7" xfId="0" applyFont="1" applyFill="1" applyBorder="1"/>
    <xf numFmtId="0" fontId="108" fillId="2" borderId="70" xfId="0" applyFont="1" applyFill="1" applyBorder="1"/>
    <xf numFmtId="0" fontId="103" fillId="2" borderId="11" xfId="0" applyFont="1" applyFill="1" applyBorder="1" applyAlignment="1">
      <alignment horizontal="right" vertical="center"/>
    </xf>
    <xf numFmtId="0" fontId="105" fillId="2" borderId="13" xfId="0" applyFont="1" applyFill="1" applyBorder="1" applyAlignment="1">
      <alignment horizontal="right"/>
    </xf>
    <xf numFmtId="0" fontId="14" fillId="4" borderId="68" xfId="0" applyFont="1" applyFill="1" applyBorder="1"/>
    <xf numFmtId="0" fontId="105" fillId="4" borderId="69" xfId="0" applyFont="1" applyFill="1" applyBorder="1" applyAlignment="1">
      <alignment horizontal="right"/>
    </xf>
    <xf numFmtId="0" fontId="105" fillId="2" borderId="0" xfId="0" applyFont="1" applyFill="1" applyAlignment="1">
      <alignment horizontal="right" vertical="center"/>
    </xf>
    <xf numFmtId="0" fontId="105" fillId="4" borderId="11" xfId="0" applyFont="1" applyFill="1" applyBorder="1" applyAlignment="1">
      <alignment horizontal="right"/>
    </xf>
    <xf numFmtId="0" fontId="14" fillId="2" borderId="0" xfId="0" applyFont="1" applyFill="1"/>
    <xf numFmtId="0" fontId="105" fillId="2" borderId="8" xfId="0" applyFont="1" applyFill="1" applyBorder="1" applyAlignment="1">
      <alignment horizontal="right"/>
    </xf>
    <xf numFmtId="2" fontId="110" fillId="0" borderId="0" xfId="0" applyNumberFormat="1" applyFont="1" applyAlignment="1">
      <alignment horizontal="right"/>
    </xf>
    <xf numFmtId="0" fontId="58" fillId="0" borderId="7" xfId="0" applyFont="1" applyBorder="1" applyAlignment="1">
      <alignment horizontal="right"/>
    </xf>
    <xf numFmtId="0" fontId="58" fillId="3" borderId="7" xfId="0" applyFont="1" applyFill="1" applyBorder="1"/>
    <xf numFmtId="0" fontId="58" fillId="3" borderId="7" xfId="0" applyFont="1" applyFill="1" applyBorder="1" applyAlignment="1">
      <alignment horizontal="right" vertical="center"/>
    </xf>
    <xf numFmtId="165" fontId="111" fillId="3" borderId="7" xfId="0" applyNumberFormat="1" applyFont="1" applyFill="1" applyBorder="1" applyAlignment="1" applyProtection="1">
      <alignment horizontal="center"/>
      <protection hidden="1"/>
    </xf>
    <xf numFmtId="0" fontId="105" fillId="5" borderId="0" xfId="0" applyFont="1" applyFill="1"/>
    <xf numFmtId="0" fontId="103" fillId="0" borderId="0" xfId="0" applyFont="1"/>
    <xf numFmtId="0" fontId="105" fillId="0" borderId="0" xfId="0" applyFont="1"/>
    <xf numFmtId="0" fontId="112" fillId="0" borderId="0" xfId="0" applyFont="1"/>
    <xf numFmtId="0" fontId="40" fillId="0" borderId="0" xfId="0" applyFont="1"/>
    <xf numFmtId="0" fontId="52" fillId="0" borderId="10" xfId="0" applyFont="1" applyBorder="1" applyAlignment="1">
      <alignment horizontal="right" vertical="center" wrapText="1"/>
    </xf>
    <xf numFmtId="0" fontId="105" fillId="0" borderId="0" xfId="0" applyFont="1" applyAlignment="1">
      <alignment horizontal="right"/>
    </xf>
    <xf numFmtId="0" fontId="108" fillId="0" borderId="0" xfId="0" applyFont="1"/>
    <xf numFmtId="0" fontId="115" fillId="5" borderId="72" xfId="0" applyFont="1" applyFill="1" applyBorder="1" applyAlignment="1">
      <alignment vertical="top" wrapText="1"/>
    </xf>
    <xf numFmtId="0" fontId="14" fillId="0" borderId="0" xfId="0" applyFont="1" applyAlignment="1">
      <alignment horizontal="center" vertical="center"/>
    </xf>
    <xf numFmtId="0" fontId="112" fillId="0" borderId="51" xfId="0" applyFont="1" applyBorder="1"/>
    <xf numFmtId="0" fontId="13" fillId="0" borderId="0" xfId="0" applyFont="1"/>
    <xf numFmtId="0" fontId="13" fillId="0" borderId="0" xfId="0" applyFont="1" applyAlignment="1">
      <alignment horizontal="right"/>
    </xf>
    <xf numFmtId="0" fontId="101" fillId="5" borderId="0" xfId="0" applyFont="1" applyFill="1"/>
    <xf numFmtId="0" fontId="13" fillId="0" borderId="0" xfId="0" applyFont="1" applyAlignment="1">
      <alignment vertical="center"/>
    </xf>
    <xf numFmtId="0" fontId="117" fillId="0" borderId="0" xfId="0" applyFont="1" applyAlignment="1">
      <alignment horizontal="right" vertical="center"/>
    </xf>
    <xf numFmtId="0" fontId="40" fillId="15" borderId="0" xfId="0" applyFont="1" applyFill="1" applyAlignment="1">
      <alignment horizontal="right" vertical="center"/>
    </xf>
    <xf numFmtId="0" fontId="86" fillId="3" borderId="0" xfId="0" applyFont="1" applyFill="1" applyAlignment="1">
      <alignment horizontal="left" vertical="center"/>
    </xf>
    <xf numFmtId="0" fontId="40" fillId="15" borderId="0" xfId="0" applyFont="1" applyFill="1" applyAlignment="1">
      <alignment horizontal="center" vertical="center"/>
    </xf>
    <xf numFmtId="49" fontId="52" fillId="0" borderId="0" xfId="0" applyNumberFormat="1" applyFont="1" applyAlignment="1">
      <alignment horizontal="left" vertical="center"/>
    </xf>
    <xf numFmtId="49" fontId="40" fillId="15" borderId="48" xfId="0" applyNumberFormat="1" applyFont="1" applyFill="1" applyBorder="1" applyAlignment="1">
      <alignment horizontal="right" vertical="center"/>
    </xf>
    <xf numFmtId="0" fontId="52" fillId="0" borderId="48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49" fontId="40" fillId="15" borderId="48" xfId="0" quotePrefix="1" applyNumberFormat="1" applyFont="1" applyFill="1" applyBorder="1" applyAlignment="1">
      <alignment horizontal="right" vertical="center"/>
    </xf>
    <xf numFmtId="0" fontId="52" fillId="0" borderId="0" xfId="0" applyFont="1" applyAlignment="1">
      <alignment horizontal="left" vertical="center"/>
    </xf>
    <xf numFmtId="0" fontId="117" fillId="17" borderId="36" xfId="0" applyFont="1" applyFill="1" applyBorder="1" applyAlignment="1">
      <alignment horizontal="right" vertical="center"/>
    </xf>
    <xf numFmtId="49" fontId="40" fillId="15" borderId="36" xfId="0" applyNumberFormat="1" applyFont="1" applyFill="1" applyBorder="1" applyAlignment="1">
      <alignment horizontal="right" vertical="center"/>
    </xf>
    <xf numFmtId="0" fontId="52" fillId="0" borderId="36" xfId="0" applyFont="1" applyBorder="1" applyAlignment="1">
      <alignment horizontal="left" vertical="center"/>
    </xf>
    <xf numFmtId="0" fontId="52" fillId="3" borderId="36" xfId="0" applyFont="1" applyFill="1" applyBorder="1" applyAlignment="1">
      <alignment horizontal="left" vertical="center"/>
    </xf>
    <xf numFmtId="0" fontId="52" fillId="17" borderId="36" xfId="0" applyFont="1" applyFill="1" applyBorder="1" applyAlignment="1">
      <alignment horizontal="left" vertical="center"/>
    </xf>
    <xf numFmtId="0" fontId="13" fillId="15" borderId="0" xfId="0" applyFont="1" applyFill="1" applyAlignment="1">
      <alignment horizontal="right" vertical="center"/>
    </xf>
    <xf numFmtId="0" fontId="86" fillId="0" borderId="0" xfId="0" applyFont="1" applyAlignment="1">
      <alignment horizontal="left" vertical="center"/>
    </xf>
    <xf numFmtId="0" fontId="86" fillId="15" borderId="0" xfId="0" applyFont="1" applyFill="1" applyAlignment="1">
      <alignment horizontal="right" vertical="center"/>
    </xf>
    <xf numFmtId="0" fontId="52" fillId="18" borderId="0" xfId="0" applyFont="1" applyFill="1" applyAlignment="1">
      <alignment horizontal="left" vertical="center"/>
    </xf>
    <xf numFmtId="0" fontId="86" fillId="0" borderId="0" xfId="0" applyFont="1" applyAlignment="1">
      <alignment horizontal="right" vertical="center"/>
    </xf>
    <xf numFmtId="0" fontId="13" fillId="0" borderId="10" xfId="0" applyFont="1" applyBorder="1" applyAlignment="1">
      <alignment vertical="center"/>
    </xf>
    <xf numFmtId="0" fontId="13" fillId="0" borderId="44" xfId="0" applyFont="1" applyBorder="1" applyAlignment="1">
      <alignment horizontal="right" vertical="center"/>
    </xf>
    <xf numFmtId="0" fontId="13" fillId="0" borderId="45" xfId="0" applyFont="1" applyBorder="1" applyAlignment="1">
      <alignment vertical="center"/>
    </xf>
    <xf numFmtId="0" fontId="81" fillId="15" borderId="0" xfId="0" applyFont="1" applyFill="1" applyAlignment="1">
      <alignment horizontal="center" vertical="center" wrapText="1"/>
    </xf>
    <xf numFmtId="0" fontId="81" fillId="0" borderId="0" xfId="0" applyFont="1" applyAlignment="1">
      <alignment horizontal="center" vertical="center" wrapText="1"/>
    </xf>
    <xf numFmtId="0" fontId="81" fillId="9" borderId="0" xfId="0" applyFont="1" applyFill="1" applyAlignment="1">
      <alignment horizontal="center" vertical="center" wrapText="1"/>
    </xf>
    <xf numFmtId="0" fontId="44" fillId="15" borderId="0" xfId="0" applyFont="1" applyFill="1" applyAlignment="1">
      <alignment horizontal="center" vertical="center" wrapText="1"/>
    </xf>
    <xf numFmtId="0" fontId="81" fillId="0" borderId="0" xfId="0" applyFont="1" applyAlignment="1">
      <alignment vertical="center"/>
    </xf>
    <xf numFmtId="0" fontId="48" fillId="15" borderId="47" xfId="0" applyFont="1" applyFill="1" applyBorder="1" applyAlignment="1">
      <alignment horizontal="center" vertical="center" wrapText="1"/>
    </xf>
    <xf numFmtId="0" fontId="114" fillId="2" borderId="0" xfId="0" applyFont="1" applyFill="1"/>
    <xf numFmtId="0" fontId="114" fillId="0" borderId="0" xfId="0" applyFont="1" applyAlignment="1">
      <alignment horizontal="right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117" fillId="0" borderId="0" xfId="0" applyFont="1"/>
    <xf numFmtId="0" fontId="117" fillId="2" borderId="0" xfId="0" applyFont="1" applyFill="1" applyAlignment="1">
      <alignment wrapText="1"/>
    </xf>
    <xf numFmtId="2" fontId="52" fillId="0" borderId="0" xfId="0" applyNumberFormat="1" applyFont="1" applyAlignment="1">
      <alignment horizontal="right"/>
    </xf>
    <xf numFmtId="0" fontId="12" fillId="0" borderId="0" xfId="0" applyFont="1"/>
    <xf numFmtId="0" fontId="52" fillId="0" borderId="0" xfId="0" applyFont="1"/>
    <xf numFmtId="0" fontId="50" fillId="3" borderId="7" xfId="0" applyFont="1" applyFill="1" applyBorder="1" applyAlignment="1" applyProtection="1">
      <alignment horizontal="right" vertical="center" wrapText="1"/>
      <protection locked="0"/>
    </xf>
    <xf numFmtId="0" fontId="11" fillId="0" borderId="0" xfId="0" applyFont="1"/>
    <xf numFmtId="165" fontId="52" fillId="3" borderId="7" xfId="0" applyNumberFormat="1" applyFont="1" applyFill="1" applyBorder="1" applyProtection="1">
      <protection locked="0"/>
    </xf>
    <xf numFmtId="165" fontId="49" fillId="0" borderId="0" xfId="0" applyNumberFormat="1" applyFont="1"/>
    <xf numFmtId="2" fontId="49" fillId="0" borderId="0" xfId="0" applyNumberFormat="1" applyFont="1"/>
    <xf numFmtId="0" fontId="39" fillId="0" borderId="0" xfId="0" applyFont="1" applyProtection="1">
      <protection hidden="1"/>
    </xf>
    <xf numFmtId="0" fontId="58" fillId="3" borderId="103" xfId="0" applyFont="1" applyFill="1" applyBorder="1" applyAlignment="1" applyProtection="1">
      <alignment horizontal="right" vertical="center"/>
      <protection locked="0"/>
    </xf>
    <xf numFmtId="165" fontId="52" fillId="3" borderId="104" xfId="0" applyNumberFormat="1" applyFont="1" applyFill="1" applyBorder="1" applyProtection="1">
      <protection locked="0"/>
    </xf>
    <xf numFmtId="0" fontId="10" fillId="0" borderId="0" xfId="0" applyFont="1"/>
    <xf numFmtId="0" fontId="10" fillId="0" borderId="0" xfId="0" applyFont="1" applyAlignment="1">
      <alignment horizontal="right"/>
    </xf>
    <xf numFmtId="0" fontId="34" fillId="0" borderId="0" xfId="0" applyFont="1"/>
    <xf numFmtId="0" fontId="126" fillId="18" borderId="7" xfId="0" applyFont="1" applyFill="1" applyBorder="1" applyAlignment="1" applyProtection="1">
      <alignment horizontal="center" vertical="center"/>
      <protection hidden="1"/>
    </xf>
    <xf numFmtId="0" fontId="110" fillId="0" borderId="0" xfId="0" applyFont="1"/>
    <xf numFmtId="0" fontId="67" fillId="11" borderId="0" xfId="0" applyFont="1" applyFill="1" applyAlignment="1">
      <alignment horizontal="right" vertical="center"/>
    </xf>
    <xf numFmtId="0" fontId="40" fillId="11" borderId="0" xfId="0" applyFont="1" applyFill="1" applyAlignment="1">
      <alignment horizontal="right" vertical="center"/>
    </xf>
    <xf numFmtId="0" fontId="40" fillId="14" borderId="0" xfId="0" applyFont="1" applyFill="1" applyAlignment="1">
      <alignment vertical="center"/>
    </xf>
    <xf numFmtId="0" fontId="40" fillId="14" borderId="0" xfId="0" applyFont="1" applyFill="1" applyAlignment="1">
      <alignment horizontal="center" vertical="center"/>
    </xf>
    <xf numFmtId="0" fontId="31" fillId="0" borderId="0" xfId="0" applyFont="1" applyAlignment="1">
      <alignment vertical="center"/>
    </xf>
    <xf numFmtId="0" fontId="40" fillId="11" borderId="0" xfId="0" applyFont="1" applyFill="1" applyAlignment="1">
      <alignment vertical="center"/>
    </xf>
    <xf numFmtId="0" fontId="52" fillId="0" borderId="0" xfId="0" applyFont="1" applyAlignment="1">
      <alignment vertical="center"/>
    </xf>
    <xf numFmtId="0" fontId="45" fillId="0" borderId="0" xfId="0" applyFont="1" applyAlignment="1">
      <alignment horizontal="right" vertical="center"/>
    </xf>
    <xf numFmtId="0" fontId="37" fillId="11" borderId="0" xfId="0" applyFont="1" applyFill="1" applyAlignment="1">
      <alignment vertical="center"/>
    </xf>
    <xf numFmtId="0" fontId="54" fillId="0" borderId="0" xfId="0" applyFont="1" applyAlignment="1">
      <alignment horizontal="center" vertical="center"/>
    </xf>
    <xf numFmtId="0" fontId="128" fillId="0" borderId="0" xfId="0" applyFont="1" applyAlignment="1">
      <alignment horizontal="right" vertical="center"/>
    </xf>
    <xf numFmtId="0" fontId="39" fillId="11" borderId="0" xfId="0" applyFont="1" applyFill="1" applyAlignment="1">
      <alignment horizontal="right" vertical="center"/>
    </xf>
    <xf numFmtId="0" fontId="54" fillId="0" borderId="0" xfId="0" applyFont="1" applyAlignment="1">
      <alignment vertical="center"/>
    </xf>
    <xf numFmtId="0" fontId="60" fillId="0" borderId="7" xfId="0" applyFont="1" applyBorder="1"/>
    <xf numFmtId="0" fontId="52" fillId="18" borderId="24" xfId="0" applyFont="1" applyFill="1" applyBorder="1" applyProtection="1">
      <protection locked="0"/>
    </xf>
    <xf numFmtId="0" fontId="129" fillId="0" borderId="0" xfId="0" applyFont="1" applyAlignment="1">
      <alignment horizontal="right" vertical="center"/>
    </xf>
    <xf numFmtId="0" fontId="50" fillId="0" borderId="0" xfId="0" applyFont="1" applyAlignment="1">
      <alignment horizontal="right" vertical="center"/>
    </xf>
    <xf numFmtId="0" fontId="131" fillId="0" borderId="0" xfId="0" applyFont="1" applyAlignment="1">
      <alignment vertical="center"/>
    </xf>
    <xf numFmtId="0" fontId="132" fillId="0" borderId="0" xfId="0" applyFont="1" applyAlignment="1">
      <alignment vertical="center"/>
    </xf>
    <xf numFmtId="0" fontId="58" fillId="3" borderId="21" xfId="0" applyFont="1" applyFill="1" applyBorder="1" applyAlignment="1">
      <alignment horizontal="right" vertical="center" wrapText="1"/>
    </xf>
    <xf numFmtId="0" fontId="49" fillId="0" borderId="0" xfId="0" applyFont="1" applyProtection="1">
      <protection hidden="1"/>
    </xf>
    <xf numFmtId="0" fontId="127" fillId="0" borderId="0" xfId="0" applyFont="1" applyProtection="1">
      <protection locked="0"/>
    </xf>
    <xf numFmtId="3" fontId="0" fillId="0" borderId="0" xfId="0" applyNumberFormat="1"/>
    <xf numFmtId="0" fontId="26" fillId="0" borderId="0" xfId="0" applyFont="1" applyAlignment="1">
      <alignment vertical="center"/>
    </xf>
    <xf numFmtId="0" fontId="18" fillId="0" borderId="0" xfId="0" applyFont="1"/>
    <xf numFmtId="0" fontId="134" fillId="5" borderId="0" xfId="0" applyFont="1" applyFill="1"/>
    <xf numFmtId="0" fontId="135" fillId="0" borderId="0" xfId="0" applyFont="1" applyAlignment="1" applyProtection="1">
      <alignment horizontal="right"/>
      <protection locked="0"/>
    </xf>
    <xf numFmtId="0" fontId="10" fillId="0" borderId="0" xfId="0" applyFont="1" applyProtection="1">
      <protection locked="0"/>
    </xf>
    <xf numFmtId="0" fontId="137" fillId="0" borderId="54" xfId="0" applyFont="1" applyBorder="1" applyAlignment="1" applyProtection="1">
      <alignment horizontal="right" vertical="center"/>
      <protection locked="0"/>
    </xf>
    <xf numFmtId="0" fontId="82" fillId="0" borderId="53" xfId="0" applyFont="1" applyBorder="1" applyAlignment="1" applyProtection="1">
      <alignment horizontal="right" vertical="center"/>
      <protection locked="0"/>
    </xf>
    <xf numFmtId="0" fontId="52" fillId="3" borderId="7" xfId="0" applyFont="1" applyFill="1" applyBorder="1" applyAlignment="1" applyProtection="1">
      <alignment horizontal="right" vertical="center"/>
      <protection locked="0"/>
    </xf>
    <xf numFmtId="0" fontId="130" fillId="23" borderId="0" xfId="0" applyFont="1" applyFill="1" applyAlignment="1" applyProtection="1">
      <alignment horizontal="right"/>
      <protection locked="0"/>
    </xf>
    <xf numFmtId="0" fontId="135" fillId="0" borderId="0" xfId="0" applyFont="1" applyAlignment="1" applyProtection="1">
      <alignment horizontal="center"/>
      <protection locked="0"/>
    </xf>
    <xf numFmtId="0" fontId="10" fillId="10" borderId="53" xfId="0" applyFont="1" applyFill="1" applyBorder="1" applyProtection="1">
      <protection locked="0"/>
    </xf>
    <xf numFmtId="0" fontId="82" fillId="10" borderId="55" xfId="0" applyFont="1" applyFill="1" applyBorder="1" applyAlignment="1" applyProtection="1">
      <alignment horizontal="right" vertical="center"/>
      <protection locked="0"/>
    </xf>
    <xf numFmtId="0" fontId="130" fillId="0" borderId="0" xfId="0" applyFont="1" applyAlignment="1">
      <alignment horizontal="right"/>
    </xf>
    <xf numFmtId="0" fontId="130" fillId="0" borderId="0" xfId="0" applyFont="1"/>
    <xf numFmtId="0" fontId="10" fillId="0" borderId="53" xfId="0" applyFont="1" applyBorder="1" applyProtection="1">
      <protection locked="0"/>
    </xf>
    <xf numFmtId="2" fontId="52" fillId="0" borderId="7" xfId="0" applyNumberFormat="1" applyFont="1" applyBorder="1" applyAlignment="1" applyProtection="1">
      <alignment horizontal="right" vertical="center"/>
      <protection locked="0"/>
    </xf>
    <xf numFmtId="0" fontId="82" fillId="10" borderId="54" xfId="0" applyFont="1" applyFill="1" applyBorder="1" applyAlignment="1" applyProtection="1">
      <alignment horizontal="right" vertical="center"/>
      <protection locked="0"/>
    </xf>
    <xf numFmtId="0" fontId="10" fillId="0" borderId="0" xfId="0" applyFont="1" applyProtection="1">
      <protection locked="0" hidden="1"/>
    </xf>
    <xf numFmtId="0" fontId="108" fillId="10" borderId="53" xfId="0" applyFont="1" applyFill="1" applyBorder="1" applyProtection="1">
      <protection locked="0"/>
    </xf>
    <xf numFmtId="0" fontId="52" fillId="0" borderId="7" xfId="0" applyFont="1" applyBorder="1" applyAlignment="1" applyProtection="1">
      <alignment horizontal="right" vertical="center"/>
      <protection locked="0"/>
    </xf>
    <xf numFmtId="49" fontId="141" fillId="0" borderId="53" xfId="0" applyNumberFormat="1" applyFont="1" applyBorder="1" applyAlignment="1" applyProtection="1">
      <alignment horizontal="center"/>
      <protection locked="0"/>
    </xf>
    <xf numFmtId="0" fontId="82" fillId="10" borderId="53" xfId="0" applyFont="1" applyFill="1" applyBorder="1" applyAlignment="1" applyProtection="1">
      <alignment horizontal="right" vertical="center"/>
      <protection locked="0"/>
    </xf>
    <xf numFmtId="0" fontId="10" fillId="0" borderId="89" xfId="0" applyFont="1" applyBorder="1" applyProtection="1">
      <protection locked="0"/>
    </xf>
    <xf numFmtId="0" fontId="10" fillId="0" borderId="95" xfId="0" applyFont="1" applyBorder="1" applyProtection="1">
      <protection locked="0"/>
    </xf>
    <xf numFmtId="0" fontId="10" fillId="0" borderId="90" xfId="0" applyFont="1" applyBorder="1" applyProtection="1">
      <protection locked="0"/>
    </xf>
    <xf numFmtId="0" fontId="10" fillId="0" borderId="91" xfId="0" applyFont="1" applyBorder="1" applyProtection="1">
      <protection locked="0"/>
    </xf>
    <xf numFmtId="0" fontId="10" fillId="0" borderId="92" xfId="0" applyFont="1" applyBorder="1" applyProtection="1">
      <protection locked="0"/>
    </xf>
    <xf numFmtId="0" fontId="82" fillId="0" borderId="95" xfId="0" applyFont="1" applyBorder="1" applyAlignment="1" applyProtection="1">
      <alignment horizontal="right"/>
      <protection locked="0"/>
    </xf>
    <xf numFmtId="2" fontId="61" fillId="0" borderId="91" xfId="0" applyNumberFormat="1" applyFont="1" applyBorder="1" applyProtection="1">
      <protection locked="0"/>
    </xf>
    <xf numFmtId="0" fontId="10" fillId="0" borderId="93" xfId="0" applyFont="1" applyBorder="1" applyProtection="1">
      <protection locked="0"/>
    </xf>
    <xf numFmtId="0" fontId="10" fillId="0" borderId="94" xfId="0" applyFont="1" applyBorder="1" applyProtection="1">
      <protection locked="0"/>
    </xf>
    <xf numFmtId="0" fontId="40" fillId="0" borderId="95" xfId="0" applyFont="1" applyBorder="1" applyProtection="1">
      <protection locked="0"/>
    </xf>
    <xf numFmtId="0" fontId="10" fillId="0" borderId="0" xfId="0" applyFont="1" applyAlignment="1" applyProtection="1">
      <alignment horizontal="right"/>
      <protection locked="0"/>
    </xf>
    <xf numFmtId="0" fontId="10" fillId="0" borderId="96" xfId="0" applyFont="1" applyBorder="1" applyProtection="1">
      <protection locked="0"/>
    </xf>
    <xf numFmtId="0" fontId="58" fillId="0" borderId="7" xfId="0" applyFont="1" applyBorder="1" applyAlignment="1" applyProtection="1">
      <alignment horizontal="right" vertical="center"/>
      <protection locked="0"/>
    </xf>
    <xf numFmtId="2" fontId="69" fillId="3" borderId="6" xfId="0" applyNumberFormat="1" applyFont="1" applyFill="1" applyBorder="1" applyAlignment="1" applyProtection="1">
      <alignment horizontal="center" vertical="center"/>
      <protection locked="0" hidden="1"/>
    </xf>
    <xf numFmtId="0" fontId="10" fillId="0" borderId="0" xfId="0" applyFont="1" applyAlignment="1" applyProtection="1">
      <alignment vertical="center"/>
      <protection locked="0"/>
    </xf>
    <xf numFmtId="0" fontId="139" fillId="0" borderId="0" xfId="0" applyFont="1" applyAlignment="1" applyProtection="1">
      <alignment vertical="center"/>
      <protection locked="0" hidden="1"/>
    </xf>
    <xf numFmtId="0" fontId="82" fillId="10" borderId="56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14" fillId="0" borderId="0" xfId="0" applyFont="1" applyAlignment="1">
      <alignment vertical="center"/>
    </xf>
    <xf numFmtId="0" fontId="139" fillId="0" borderId="0" xfId="0" applyFont="1" applyAlignment="1" applyProtection="1">
      <alignment vertical="center"/>
      <protection hidden="1"/>
    </xf>
    <xf numFmtId="0" fontId="82" fillId="0" borderId="57" xfId="0" applyFont="1" applyBorder="1" applyAlignment="1">
      <alignment vertical="center"/>
    </xf>
    <xf numFmtId="0" fontId="58" fillId="3" borderId="7" xfId="0" applyFont="1" applyFill="1" applyBorder="1" applyAlignment="1" applyProtection="1">
      <alignment horizontal="left" vertical="center"/>
      <protection locked="0"/>
    </xf>
    <xf numFmtId="0" fontId="127" fillId="21" borderId="0" xfId="0" applyFont="1" applyFill="1" applyAlignment="1">
      <alignment vertical="center"/>
    </xf>
    <xf numFmtId="0" fontId="58" fillId="0" borderId="37" xfId="0" applyFont="1" applyBorder="1" applyAlignment="1" applyProtection="1">
      <alignment horizontal="right" vertical="center"/>
      <protection locked="0"/>
    </xf>
    <xf numFmtId="0" fontId="38" fillId="0" borderId="38" xfId="0" applyFont="1" applyBorder="1" applyAlignment="1" applyProtection="1">
      <alignment vertical="center"/>
      <protection locked="0"/>
    </xf>
    <xf numFmtId="0" fontId="120" fillId="0" borderId="0" xfId="0" applyFont="1" applyAlignment="1" applyProtection="1">
      <alignment vertical="center"/>
      <protection locked="0" hidden="1"/>
    </xf>
    <xf numFmtId="0" fontId="10" fillId="0" borderId="0" xfId="0" applyFont="1" applyAlignment="1" applyProtection="1">
      <alignment vertical="center"/>
      <protection locked="0" hidden="1"/>
    </xf>
    <xf numFmtId="0" fontId="58" fillId="3" borderId="37" xfId="0" applyFont="1" applyFill="1" applyBorder="1" applyAlignment="1" applyProtection="1">
      <alignment horizontal="right" vertical="center"/>
      <protection locked="0"/>
    </xf>
    <xf numFmtId="0" fontId="44" fillId="0" borderId="0" xfId="0" applyFont="1" applyAlignment="1" applyProtection="1">
      <alignment vertical="center"/>
      <protection locked="0"/>
    </xf>
    <xf numFmtId="0" fontId="114" fillId="0" borderId="0" xfId="0" applyFont="1" applyAlignment="1" applyProtection="1">
      <alignment vertical="center"/>
      <protection locked="0" hidden="1"/>
    </xf>
    <xf numFmtId="0" fontId="43" fillId="0" borderId="0" xfId="0" applyFont="1" applyAlignment="1" applyProtection="1">
      <alignment horizontal="right" vertical="center"/>
      <protection locked="0" hidden="1"/>
    </xf>
    <xf numFmtId="166" fontId="61" fillId="0" borderId="0" xfId="0" applyNumberFormat="1" applyFont="1" applyAlignment="1" applyProtection="1">
      <alignment horizontal="right" vertical="center"/>
      <protection locked="0" hidden="1"/>
    </xf>
    <xf numFmtId="0" fontId="126" fillId="0" borderId="52" xfId="0" applyFont="1" applyBorder="1" applyAlignment="1" applyProtection="1">
      <alignment vertical="center"/>
      <protection locked="0" hidden="1"/>
    </xf>
    <xf numFmtId="0" fontId="52" fillId="0" borderId="38" xfId="0" applyFont="1" applyBorder="1" applyAlignment="1" applyProtection="1">
      <alignment vertical="center"/>
      <protection locked="0" hidden="1"/>
    </xf>
    <xf numFmtId="0" fontId="111" fillId="0" borderId="0" xfId="0" applyFont="1" applyAlignment="1" applyProtection="1">
      <alignment vertical="center"/>
      <protection locked="0" hidden="1"/>
    </xf>
    <xf numFmtId="0" fontId="66" fillId="0" borderId="0" xfId="0" applyFont="1" applyAlignment="1" applyProtection="1">
      <alignment vertical="center"/>
      <protection locked="0" hidden="1"/>
    </xf>
    <xf numFmtId="0" fontId="140" fillId="0" borderId="0" xfId="0" applyFont="1" applyAlignment="1" applyProtection="1">
      <alignment vertical="center"/>
      <protection locked="0"/>
    </xf>
    <xf numFmtId="0" fontId="81" fillId="0" borderId="0" xfId="0" applyFont="1" applyAlignment="1" applyProtection="1">
      <alignment vertical="center"/>
      <protection locked="0"/>
    </xf>
    <xf numFmtId="0" fontId="10" fillId="2" borderId="0" xfId="0" applyFont="1" applyFill="1" applyAlignment="1" applyProtection="1">
      <alignment vertical="center"/>
      <protection locked="0" hidden="1"/>
    </xf>
    <xf numFmtId="0" fontId="58" fillId="3" borderId="7" xfId="0" applyFont="1" applyFill="1" applyBorder="1" applyAlignment="1">
      <alignment vertical="center"/>
    </xf>
    <xf numFmtId="0" fontId="58" fillId="3" borderId="7" xfId="0" applyFont="1" applyFill="1" applyBorder="1" applyAlignment="1" applyProtection="1">
      <alignment vertical="center"/>
      <protection locked="0" hidden="1"/>
    </xf>
    <xf numFmtId="0" fontId="130" fillId="22" borderId="0" xfId="0" applyFont="1" applyFill="1" applyAlignment="1">
      <alignment vertical="center"/>
    </xf>
    <xf numFmtId="0" fontId="127" fillId="0" borderId="0" xfId="0" applyFont="1" applyAlignment="1" applyProtection="1">
      <alignment vertical="center"/>
      <protection locked="0"/>
    </xf>
    <xf numFmtId="49" fontId="52" fillId="3" borderId="29" xfId="0" applyNumberFormat="1" applyFont="1" applyFill="1" applyBorder="1" applyAlignment="1" applyProtection="1">
      <alignment horizontal="right" vertical="center"/>
      <protection locked="0"/>
    </xf>
    <xf numFmtId="49" fontId="52" fillId="0" borderId="6" xfId="0" applyNumberFormat="1" applyFont="1" applyBorder="1" applyAlignment="1" applyProtection="1">
      <alignment horizontal="right" vertical="center"/>
      <protection locked="0"/>
    </xf>
    <xf numFmtId="0" fontId="72" fillId="3" borderId="7" xfId="0" applyFont="1" applyFill="1" applyBorder="1" applyAlignment="1" applyProtection="1">
      <alignment horizontal="center" vertical="center"/>
      <protection locked="0"/>
    </xf>
    <xf numFmtId="0" fontId="82" fillId="0" borderId="54" xfId="0" applyFont="1" applyBorder="1" applyAlignment="1" applyProtection="1">
      <alignment horizontal="right" vertical="center"/>
      <protection locked="0"/>
    </xf>
    <xf numFmtId="0" fontId="82" fillId="0" borderId="0" xfId="0" applyFont="1" applyAlignment="1" applyProtection="1">
      <alignment horizontal="right" vertical="center"/>
      <protection locked="0"/>
    </xf>
    <xf numFmtId="0" fontId="52" fillId="0" borderId="15" xfId="0" applyFont="1" applyBorder="1" applyAlignment="1" applyProtection="1">
      <alignment horizontal="right" vertical="center"/>
      <protection locked="0"/>
    </xf>
    <xf numFmtId="0" fontId="127" fillId="21" borderId="17" xfId="0" applyFont="1" applyFill="1" applyBorder="1" applyAlignment="1">
      <alignment horizontal="right" vertical="center"/>
    </xf>
    <xf numFmtId="0" fontId="82" fillId="22" borderId="63" xfId="0" applyFont="1" applyFill="1" applyBorder="1" applyAlignment="1">
      <alignment horizontal="left" vertical="center"/>
    </xf>
    <xf numFmtId="0" fontId="82" fillId="22" borderId="64" xfId="0" applyFont="1" applyFill="1" applyBorder="1" applyAlignment="1">
      <alignment vertical="center"/>
    </xf>
    <xf numFmtId="0" fontId="10" fillId="0" borderId="0" xfId="0" applyFont="1" applyAlignment="1" applyProtection="1">
      <alignment horizontal="center" vertical="center"/>
      <protection locked="0"/>
    </xf>
    <xf numFmtId="0" fontId="142" fillId="0" borderId="0" xfId="0" applyFont="1" applyAlignment="1" applyProtection="1">
      <alignment horizontal="right" vertical="center"/>
      <protection locked="0"/>
    </xf>
    <xf numFmtId="2" fontId="142" fillId="0" borderId="0" xfId="0" applyNumberFormat="1" applyFont="1" applyAlignment="1" applyProtection="1">
      <alignment horizontal="right" vertical="center"/>
      <protection locked="0"/>
    </xf>
    <xf numFmtId="0" fontId="81" fillId="23" borderId="0" xfId="0" applyFont="1" applyFill="1" applyAlignment="1" applyProtection="1">
      <alignment vertical="center"/>
      <protection locked="0"/>
    </xf>
    <xf numFmtId="0" fontId="44" fillId="23" borderId="0" xfId="0" applyFont="1" applyFill="1" applyAlignment="1" applyProtection="1">
      <alignment horizontal="right" vertical="center"/>
      <protection locked="0"/>
    </xf>
    <xf numFmtId="0" fontId="145" fillId="2" borderId="0" xfId="0" applyFont="1" applyFill="1" applyAlignment="1" applyProtection="1">
      <alignment vertical="center"/>
      <protection locked="0"/>
    </xf>
    <xf numFmtId="0" fontId="138" fillId="2" borderId="0" xfId="0" applyFont="1" applyFill="1" applyAlignment="1" applyProtection="1">
      <alignment horizontal="right" vertical="center"/>
      <protection locked="0"/>
    </xf>
    <xf numFmtId="0" fontId="44" fillId="23" borderId="0" xfId="0" applyFont="1" applyFill="1" applyAlignment="1" applyProtection="1">
      <alignment vertical="center"/>
      <protection locked="0"/>
    </xf>
    <xf numFmtId="0" fontId="138" fillId="0" borderId="0" xfId="0" applyFont="1" applyAlignment="1" applyProtection="1">
      <alignment horizontal="right" vertical="center"/>
      <protection locked="0"/>
    </xf>
    <xf numFmtId="0" fontId="44" fillId="23" borderId="0" xfId="0" applyFont="1" applyFill="1" applyAlignment="1" applyProtection="1">
      <alignment horizontal="center" vertical="center"/>
      <protection locked="0"/>
    </xf>
    <xf numFmtId="0" fontId="81" fillId="2" borderId="0" xfId="0" applyFont="1" applyFill="1" applyAlignment="1" applyProtection="1">
      <alignment vertical="center"/>
      <protection locked="0"/>
    </xf>
    <xf numFmtId="0" fontId="44" fillId="23" borderId="0" xfId="0" applyFont="1" applyFill="1" applyAlignment="1" applyProtection="1">
      <alignment vertical="center" wrapText="1"/>
      <protection locked="0"/>
    </xf>
    <xf numFmtId="0" fontId="44" fillId="23" borderId="0" xfId="0" applyFont="1" applyFill="1" applyAlignment="1" applyProtection="1">
      <alignment horizontal="right" vertical="center" wrapText="1"/>
      <protection locked="0"/>
    </xf>
    <xf numFmtId="0" fontId="138" fillId="0" borderId="0" xfId="0" applyFont="1" applyAlignment="1">
      <alignment horizontal="right" vertical="center"/>
    </xf>
    <xf numFmtId="0" fontId="44" fillId="23" borderId="0" xfId="0" applyFont="1" applyFill="1" applyAlignment="1">
      <alignment horizontal="right" vertical="center"/>
    </xf>
    <xf numFmtId="0" fontId="136" fillId="0" borderId="0" xfId="0" applyFont="1" applyAlignment="1">
      <alignment horizontal="right" vertical="center"/>
    </xf>
    <xf numFmtId="0" fontId="147" fillId="0" borderId="0" xfId="0" applyFont="1" applyAlignment="1" applyProtection="1">
      <alignment vertical="center"/>
      <protection locked="0"/>
    </xf>
    <xf numFmtId="0" fontId="148" fillId="4" borderId="0" xfId="0" applyFont="1" applyFill="1" applyAlignment="1">
      <alignment horizontal="right" vertical="center"/>
    </xf>
    <xf numFmtId="0" fontId="79" fillId="3" borderId="0" xfId="0" applyFont="1" applyFill="1" applyAlignment="1">
      <alignment horizontal="center"/>
    </xf>
    <xf numFmtId="0" fontId="150" fillId="0" borderId="0" xfId="0" applyFont="1"/>
    <xf numFmtId="0" fontId="150" fillId="0" borderId="0" xfId="0" applyFont="1" applyAlignment="1">
      <alignment horizontal="right"/>
    </xf>
    <xf numFmtId="0" fontId="97" fillId="0" borderId="0" xfId="0" applyFont="1"/>
    <xf numFmtId="0" fontId="76" fillId="6" borderId="111" xfId="0" applyFont="1" applyFill="1" applyBorder="1" applyAlignment="1">
      <alignment horizontal="center" vertical="center"/>
    </xf>
    <xf numFmtId="0" fontId="50" fillId="3" borderId="0" xfId="0" applyFont="1" applyFill="1" applyAlignment="1">
      <alignment horizontal="right"/>
    </xf>
    <xf numFmtId="0" fontId="50" fillId="0" borderId="0" xfId="0" applyFont="1" applyAlignment="1">
      <alignment horizontal="right"/>
    </xf>
    <xf numFmtId="0" fontId="149" fillId="6" borderId="40" xfId="0" applyFont="1" applyFill="1" applyBorder="1" applyAlignment="1">
      <alignment horizontal="center"/>
    </xf>
    <xf numFmtId="0" fontId="34" fillId="8" borderId="40" xfId="0" applyFont="1" applyFill="1" applyBorder="1" applyAlignment="1">
      <alignment horizontal="center"/>
    </xf>
    <xf numFmtId="0" fontId="132" fillId="8" borderId="40" xfId="0" applyFont="1" applyFill="1" applyBorder="1" applyAlignment="1">
      <alignment horizontal="right" vertical="center"/>
    </xf>
    <xf numFmtId="0" fontId="52" fillId="0" borderId="0" xfId="0" applyFont="1" applyAlignment="1">
      <alignment horizontal="right" vertical="center"/>
    </xf>
    <xf numFmtId="0" fontId="93" fillId="15" borderId="9" xfId="0" applyFont="1" applyFill="1" applyBorder="1" applyAlignment="1">
      <alignment vertical="center"/>
    </xf>
    <xf numFmtId="0" fontId="93" fillId="15" borderId="43" xfId="0" applyFont="1" applyFill="1" applyBorder="1" applyAlignment="1">
      <alignment vertical="center"/>
    </xf>
    <xf numFmtId="0" fontId="95" fillId="3" borderId="9" xfId="0" applyFont="1" applyFill="1" applyBorder="1" applyAlignment="1">
      <alignment vertical="center"/>
    </xf>
    <xf numFmtId="0" fontId="79" fillId="3" borderId="0" xfId="0" applyFont="1" applyFill="1" applyAlignment="1">
      <alignment horizontal="left"/>
    </xf>
    <xf numFmtId="0" fontId="40" fillId="7" borderId="0" xfId="0" applyFont="1" applyFill="1" applyAlignment="1">
      <alignment horizontal="right" vertical="center"/>
    </xf>
    <xf numFmtId="0" fontId="151" fillId="23" borderId="0" xfId="0" applyFont="1" applyFill="1" applyAlignment="1" applyProtection="1">
      <alignment horizontal="center" vertical="center"/>
      <protection locked="0"/>
    </xf>
    <xf numFmtId="1" fontId="61" fillId="8" borderId="87" xfId="0" applyNumberFormat="1" applyFont="1" applyFill="1" applyBorder="1"/>
    <xf numFmtId="1" fontId="59" fillId="0" borderId="105" xfId="0" applyNumberFormat="1" applyFont="1" applyBorder="1" applyAlignment="1">
      <alignment vertical="center"/>
    </xf>
    <xf numFmtId="0" fontId="66" fillId="6" borderId="0" xfId="0" applyFont="1" applyFill="1"/>
    <xf numFmtId="0" fontId="63" fillId="0" borderId="0" xfId="0" applyFont="1" applyProtection="1">
      <protection hidden="1"/>
    </xf>
    <xf numFmtId="169" fontId="125" fillId="0" borderId="0" xfId="0" applyNumberFormat="1" applyFont="1" applyProtection="1">
      <protection hidden="1"/>
    </xf>
    <xf numFmtId="169" fontId="49" fillId="0" borderId="0" xfId="0" applyNumberFormat="1" applyFont="1" applyProtection="1">
      <protection hidden="1"/>
    </xf>
    <xf numFmtId="169" fontId="64" fillId="0" borderId="0" xfId="0" applyNumberFormat="1" applyFont="1" applyAlignment="1" applyProtection="1">
      <alignment horizontal="right"/>
      <protection hidden="1"/>
    </xf>
    <xf numFmtId="169" fontId="63" fillId="0" borderId="0" xfId="0" applyNumberFormat="1" applyFont="1" applyProtection="1">
      <protection hidden="1"/>
    </xf>
    <xf numFmtId="169" fontId="49" fillId="0" borderId="0" xfId="0" applyNumberFormat="1" applyFont="1"/>
    <xf numFmtId="0" fontId="153" fillId="0" borderId="0" xfId="0" applyFont="1" applyAlignment="1">
      <alignment horizontal="center"/>
    </xf>
    <xf numFmtId="0" fontId="154" fillId="0" borderId="0" xfId="0" applyFont="1" applyProtection="1">
      <protection hidden="1"/>
    </xf>
    <xf numFmtId="0" fontId="126" fillId="18" borderId="7" xfId="0" applyFont="1" applyFill="1" applyBorder="1" applyAlignment="1" applyProtection="1">
      <alignment horizontal="center" vertical="center"/>
      <protection locked="0"/>
    </xf>
    <xf numFmtId="49" fontId="155" fillId="0" borderId="113" xfId="0" applyNumberFormat="1" applyFont="1" applyBorder="1" applyAlignment="1">
      <alignment horizontal="right" vertical="center"/>
    </xf>
    <xf numFmtId="0" fontId="24" fillId="0" borderId="0" xfId="0" applyFont="1" applyAlignment="1">
      <alignment horizontal="left" vertical="center"/>
    </xf>
    <xf numFmtId="49" fontId="156" fillId="23" borderId="0" xfId="0" applyNumberFormat="1" applyFont="1" applyFill="1" applyAlignment="1">
      <alignment horizontal="center" vertical="center"/>
    </xf>
    <xf numFmtId="49" fontId="90" fillId="3" borderId="7" xfId="0" applyNumberFormat="1" applyFont="1" applyFill="1" applyBorder="1" applyAlignment="1" applyProtection="1">
      <alignment horizontal="right" vertical="center"/>
      <protection locked="0"/>
    </xf>
    <xf numFmtId="0" fontId="43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100" fillId="19" borderId="0" xfId="0" applyFont="1" applyFill="1" applyAlignment="1">
      <alignment horizontal="center"/>
    </xf>
    <xf numFmtId="0" fontId="91" fillId="0" borderId="0" xfId="0" applyFont="1" applyAlignment="1">
      <alignment vertical="center"/>
    </xf>
    <xf numFmtId="0" fontId="92" fillId="0" borderId="0" xfId="0" applyFont="1" applyAlignment="1">
      <alignment horizontal="right" vertical="center"/>
    </xf>
    <xf numFmtId="0" fontId="52" fillId="3" borderId="24" xfId="0" applyFont="1" applyFill="1" applyBorder="1" applyAlignment="1">
      <alignment horizontal="center" vertical="center"/>
    </xf>
    <xf numFmtId="0" fontId="38" fillId="0" borderId="23" xfId="0" applyFont="1" applyBorder="1" applyAlignment="1">
      <alignment horizontal="right" vertical="center"/>
    </xf>
    <xf numFmtId="0" fontId="38" fillId="0" borderId="116" xfId="0" applyFont="1" applyBorder="1" applyAlignment="1">
      <alignment horizontal="right" vertical="center"/>
    </xf>
    <xf numFmtId="0" fontId="40" fillId="14" borderId="116" xfId="0" applyFont="1" applyFill="1" applyBorder="1" applyAlignment="1">
      <alignment horizontal="right" vertical="center"/>
    </xf>
    <xf numFmtId="49" fontId="109" fillId="18" borderId="6" xfId="0" applyNumberFormat="1" applyFont="1" applyFill="1" applyBorder="1" applyAlignment="1" applyProtection="1">
      <alignment horizontal="left"/>
      <protection locked="0"/>
    </xf>
    <xf numFmtId="3" fontId="52" fillId="3" borderId="24" xfId="0" applyNumberFormat="1" applyFont="1" applyFill="1" applyBorder="1" applyAlignment="1" applyProtection="1">
      <alignment horizontal="right"/>
      <protection locked="0"/>
    </xf>
    <xf numFmtId="0" fontId="137" fillId="10" borderId="54" xfId="0" applyFont="1" applyFill="1" applyBorder="1" applyAlignment="1" applyProtection="1">
      <alignment horizontal="right" vertical="center"/>
      <protection locked="0"/>
    </xf>
    <xf numFmtId="0" fontId="82" fillId="0" borderId="55" xfId="0" applyFont="1" applyBorder="1" applyAlignment="1" applyProtection="1">
      <alignment horizontal="right" vertical="center"/>
      <protection locked="0"/>
    </xf>
    <xf numFmtId="0" fontId="158" fillId="0" borderId="0" xfId="0" applyFont="1" applyAlignment="1">
      <alignment vertical="center"/>
    </xf>
    <xf numFmtId="0" fontId="41" fillId="0" borderId="0" xfId="0" applyFont="1" applyProtection="1">
      <protection hidden="1"/>
    </xf>
    <xf numFmtId="0" fontId="142" fillId="10" borderId="54" xfId="0" applyFont="1" applyFill="1" applyBorder="1" applyAlignment="1" applyProtection="1">
      <alignment horizontal="right" vertical="center"/>
      <protection locked="0"/>
    </xf>
    <xf numFmtId="0" fontId="10" fillId="3" borderId="0" xfId="0" applyFont="1" applyFill="1" applyAlignment="1">
      <alignment horizontal="center" vertical="center"/>
    </xf>
    <xf numFmtId="49" fontId="159" fillId="0" borderId="0" xfId="0" applyNumberFormat="1" applyFont="1" applyAlignment="1">
      <alignment horizontal="right" vertical="center"/>
    </xf>
    <xf numFmtId="49" fontId="159" fillId="0" borderId="0" xfId="0" quotePrefix="1" applyNumberFormat="1" applyFont="1" applyAlignment="1">
      <alignment horizontal="right" vertical="center"/>
    </xf>
    <xf numFmtId="0" fontId="160" fillId="0" borderId="0" xfId="0" applyFont="1" applyAlignment="1">
      <alignment vertical="center"/>
    </xf>
    <xf numFmtId="0" fontId="160" fillId="0" borderId="0" xfId="0" applyFont="1" applyAlignment="1">
      <alignment horizontal="center" vertical="center"/>
    </xf>
    <xf numFmtId="0" fontId="84" fillId="0" borderId="0" xfId="0" applyFont="1" applyAlignment="1">
      <alignment horizontal="center"/>
    </xf>
    <xf numFmtId="0" fontId="162" fillId="0" borderId="0" xfId="0" applyFont="1"/>
    <xf numFmtId="1" fontId="66" fillId="0" borderId="0" xfId="0" applyNumberFormat="1" applyFont="1"/>
    <xf numFmtId="0" fontId="67" fillId="0" borderId="0" xfId="0" applyFont="1" applyAlignment="1">
      <alignment horizontal="center"/>
    </xf>
    <xf numFmtId="3" fontId="143" fillId="2" borderId="22" xfId="0" applyNumberFormat="1" applyFont="1" applyFill="1" applyBorder="1" applyAlignment="1">
      <alignment horizontal="left"/>
    </xf>
    <xf numFmtId="3" fontId="82" fillId="2" borderId="63" xfId="0" applyNumberFormat="1" applyFont="1" applyFill="1" applyBorder="1" applyAlignment="1">
      <alignment horizontal="left" vertical="center"/>
    </xf>
    <xf numFmtId="0" fontId="50" fillId="3" borderId="7" xfId="0" applyFont="1" applyFill="1" applyBorder="1" applyAlignment="1" applyProtection="1">
      <alignment horizontal="right" vertical="center"/>
      <protection locked="0"/>
    </xf>
    <xf numFmtId="0" fontId="164" fillId="0" borderId="0" xfId="0" applyFont="1" applyAlignment="1" applyProtection="1">
      <alignment vertical="center"/>
      <protection locked="0"/>
    </xf>
    <xf numFmtId="1" fontId="129" fillId="8" borderId="0" xfId="0" applyNumberFormat="1" applyFont="1" applyFill="1" applyAlignment="1">
      <alignment horizontal="left" vertical="center"/>
    </xf>
    <xf numFmtId="0" fontId="33" fillId="0" borderId="0" xfId="0" applyFont="1" applyProtection="1">
      <protection hidden="1"/>
    </xf>
    <xf numFmtId="0" fontId="141" fillId="10" borderId="107" xfId="0" applyFont="1" applyFill="1" applyBorder="1" applyAlignment="1">
      <alignment vertical="center"/>
    </xf>
    <xf numFmtId="0" fontId="144" fillId="10" borderId="53" xfId="0" applyFont="1" applyFill="1" applyBorder="1" applyAlignment="1">
      <alignment vertical="center"/>
    </xf>
    <xf numFmtId="0" fontId="67" fillId="10" borderId="53" xfId="0" applyFont="1" applyFill="1" applyBorder="1"/>
    <xf numFmtId="0" fontId="82" fillId="0" borderId="53" xfId="0" applyFont="1" applyBorder="1" applyAlignment="1">
      <alignment horizontal="right" vertical="center"/>
    </xf>
    <xf numFmtId="2" fontId="105" fillId="5" borderId="0" xfId="0" applyNumberFormat="1" applyFont="1" applyFill="1"/>
    <xf numFmtId="0" fontId="117" fillId="0" borderId="0" xfId="0" applyFont="1" applyAlignment="1">
      <alignment horizontal="center"/>
    </xf>
    <xf numFmtId="0" fontId="117" fillId="0" borderId="0" xfId="0" applyFont="1" applyAlignment="1">
      <alignment horizontal="right"/>
    </xf>
    <xf numFmtId="0" fontId="9" fillId="0" borderId="0" xfId="0" applyFont="1"/>
    <xf numFmtId="2" fontId="10" fillId="0" borderId="0" xfId="0" applyNumberFormat="1" applyFont="1"/>
    <xf numFmtId="3" fontId="142" fillId="10" borderId="65" xfId="0" applyNumberFormat="1" applyFont="1" applyFill="1" applyBorder="1" applyAlignment="1">
      <alignment horizontal="left" vertical="center"/>
    </xf>
    <xf numFmtId="0" fontId="118" fillId="0" borderId="0" xfId="0" applyFont="1" applyAlignment="1">
      <alignment horizontal="right"/>
    </xf>
    <xf numFmtId="169" fontId="165" fillId="0" borderId="0" xfId="0" applyNumberFormat="1" applyFont="1"/>
    <xf numFmtId="0" fontId="52" fillId="0" borderId="78" xfId="0" applyFont="1" applyBorder="1" applyAlignment="1" applyProtection="1">
      <alignment horizontal="right"/>
      <protection locked="0"/>
    </xf>
    <xf numFmtId="0" fontId="122" fillId="15" borderId="12" xfId="0" applyFont="1" applyFill="1" applyBorder="1" applyAlignment="1">
      <alignment horizontal="right" vertical="center"/>
    </xf>
    <xf numFmtId="0" fontId="52" fillId="16" borderId="9" xfId="0" applyFont="1" applyFill="1" applyBorder="1" applyAlignment="1">
      <alignment horizontal="right"/>
    </xf>
    <xf numFmtId="0" fontId="117" fillId="0" borderId="118" xfId="0" applyFont="1" applyBorder="1" applyAlignment="1">
      <alignment horizontal="right" vertical="center"/>
    </xf>
    <xf numFmtId="0" fontId="152" fillId="16" borderId="7" xfId="0" applyFont="1" applyFill="1" applyBorder="1"/>
    <xf numFmtId="0" fontId="52" fillId="18" borderId="0" xfId="0" applyFont="1" applyFill="1" applyAlignment="1">
      <alignment horizontal="right"/>
    </xf>
    <xf numFmtId="0" fontId="52" fillId="18" borderId="0" xfId="0" applyFont="1" applyFill="1" applyAlignment="1">
      <alignment horizontal="left"/>
    </xf>
    <xf numFmtId="0" fontId="52" fillId="18" borderId="0" xfId="0" applyFont="1" applyFill="1"/>
    <xf numFmtId="0" fontId="118" fillId="0" borderId="0" xfId="0" applyFont="1" applyAlignment="1">
      <alignment horizontal="center"/>
    </xf>
    <xf numFmtId="0" fontId="40" fillId="15" borderId="73" xfId="0" applyFont="1" applyFill="1" applyBorder="1"/>
    <xf numFmtId="0" fontId="40" fillId="15" borderId="73" xfId="0" applyFont="1" applyFill="1" applyBorder="1" applyAlignment="1">
      <alignment horizontal="right" vertical="center"/>
    </xf>
    <xf numFmtId="49" fontId="52" fillId="16" borderId="75" xfId="0" applyNumberFormat="1" applyFont="1" applyFill="1" applyBorder="1" applyAlignment="1">
      <alignment horizontal="center"/>
    </xf>
    <xf numFmtId="165" fontId="111" fillId="16" borderId="7" xfId="0" applyNumberFormat="1" applyFont="1" applyFill="1" applyBorder="1" applyAlignment="1" applyProtection="1">
      <alignment horizontal="center"/>
      <protection hidden="1"/>
    </xf>
    <xf numFmtId="0" fontId="10" fillId="2" borderId="12" xfId="0" applyFont="1" applyFill="1" applyBorder="1"/>
    <xf numFmtId="0" fontId="117" fillId="2" borderId="12" xfId="0" applyFont="1" applyFill="1" applyBorder="1" applyAlignment="1">
      <alignment horizontal="right" vertical="center"/>
    </xf>
    <xf numFmtId="0" fontId="52" fillId="0" borderId="76" xfId="0" applyFont="1" applyBorder="1" applyAlignment="1">
      <alignment horizontal="right"/>
    </xf>
    <xf numFmtId="2" fontId="52" fillId="25" borderId="0" xfId="0" applyNumberFormat="1" applyFont="1" applyFill="1"/>
    <xf numFmtId="169" fontId="10" fillId="0" borderId="0" xfId="0" applyNumberFormat="1" applyFont="1"/>
    <xf numFmtId="0" fontId="40" fillId="15" borderId="0" xfId="0" applyFont="1" applyFill="1"/>
    <xf numFmtId="2" fontId="52" fillId="16" borderId="76" xfId="0" applyNumberFormat="1" applyFont="1" applyFill="1" applyBorder="1" applyAlignment="1">
      <alignment horizontal="right" vertical="center"/>
    </xf>
    <xf numFmtId="49" fontId="67" fillId="15" borderId="0" xfId="0" applyNumberFormat="1" applyFont="1" applyFill="1" applyAlignment="1">
      <alignment horizontal="right"/>
    </xf>
    <xf numFmtId="169" fontId="117" fillId="0" borderId="0" xfId="0" applyNumberFormat="1" applyFont="1"/>
    <xf numFmtId="0" fontId="40" fillId="15" borderId="0" xfId="0" applyFont="1" applyFill="1" applyAlignment="1">
      <alignment horizontal="right"/>
    </xf>
    <xf numFmtId="0" fontId="52" fillId="16" borderId="76" xfId="0" applyFont="1" applyFill="1" applyBorder="1"/>
    <xf numFmtId="0" fontId="40" fillId="18" borderId="7" xfId="0" applyFont="1" applyFill="1" applyBorder="1"/>
    <xf numFmtId="3" fontId="52" fillId="0" borderId="76" xfId="0" applyNumberFormat="1" applyFont="1" applyBorder="1" applyAlignment="1">
      <alignment horizontal="right"/>
    </xf>
    <xf numFmtId="0" fontId="52" fillId="16" borderId="9" xfId="0" applyFont="1" applyFill="1" applyBorder="1" applyAlignment="1" applyProtection="1">
      <alignment horizontal="center"/>
      <protection locked="0"/>
    </xf>
    <xf numFmtId="0" fontId="117" fillId="25" borderId="7" xfId="0" applyFont="1" applyFill="1" applyBorder="1"/>
    <xf numFmtId="0" fontId="118" fillId="0" borderId="0" xfId="0" applyFont="1"/>
    <xf numFmtId="0" fontId="40" fillId="15" borderId="12" xfId="0" applyFont="1" applyFill="1" applyBorder="1"/>
    <xf numFmtId="0" fontId="52" fillId="16" borderId="77" xfId="0" applyFont="1" applyFill="1" applyBorder="1"/>
    <xf numFmtId="0" fontId="52" fillId="0" borderId="9" xfId="0" applyFont="1" applyBorder="1" applyAlignment="1">
      <alignment horizontal="right" vertical="center"/>
    </xf>
    <xf numFmtId="0" fontId="117" fillId="2" borderId="12" xfId="0" applyFont="1" applyFill="1" applyBorder="1" applyAlignment="1">
      <alignment horizontal="right"/>
    </xf>
    <xf numFmtId="49" fontId="109" fillId="0" borderId="76" xfId="0" applyNumberFormat="1" applyFont="1" applyBorder="1" applyAlignment="1">
      <alignment horizontal="right"/>
    </xf>
    <xf numFmtId="0" fontId="122" fillId="15" borderId="0" xfId="0" applyFont="1" applyFill="1" applyAlignment="1">
      <alignment horizontal="right" vertical="center"/>
    </xf>
    <xf numFmtId="0" fontId="52" fillId="16" borderId="77" xfId="0" applyFont="1" applyFill="1" applyBorder="1" applyAlignment="1">
      <alignment horizontal="center"/>
    </xf>
    <xf numFmtId="2" fontId="105" fillId="0" borderId="0" xfId="0" applyNumberFormat="1" applyFont="1"/>
    <xf numFmtId="0" fontId="118" fillId="2" borderId="12" xfId="0" applyFont="1" applyFill="1" applyBorder="1" applyAlignment="1">
      <alignment horizontal="right" vertical="center"/>
    </xf>
    <xf numFmtId="0" fontId="117" fillId="0" borderId="6" xfId="0" applyFont="1" applyBorder="1" applyAlignment="1">
      <alignment horizontal="right"/>
    </xf>
    <xf numFmtId="0" fontId="40" fillId="15" borderId="68" xfId="0" applyFont="1" applyFill="1" applyBorder="1"/>
    <xf numFmtId="0" fontId="40" fillId="15" borderId="68" xfId="0" applyFont="1" applyFill="1" applyBorder="1" applyAlignment="1">
      <alignment horizontal="right"/>
    </xf>
    <xf numFmtId="0" fontId="117" fillId="25" borderId="6" xfId="0" applyFont="1" applyFill="1" applyBorder="1" applyAlignment="1">
      <alignment horizontal="left"/>
    </xf>
    <xf numFmtId="0" fontId="117" fillId="2" borderId="0" xfId="0" applyFont="1" applyFill="1" applyAlignment="1">
      <alignment horizontal="right" vertical="center"/>
    </xf>
    <xf numFmtId="0" fontId="40" fillId="15" borderId="6" xfId="0" applyFont="1" applyFill="1" applyBorder="1" applyAlignment="1">
      <alignment horizontal="left"/>
    </xf>
    <xf numFmtId="0" fontId="40" fillId="15" borderId="74" xfId="0" applyFont="1" applyFill="1" applyBorder="1" applyAlignment="1">
      <alignment horizontal="right"/>
    </xf>
    <xf numFmtId="0" fontId="117" fillId="2" borderId="6" xfId="0" applyFont="1" applyFill="1" applyBorder="1" applyAlignment="1">
      <alignment horizontal="left"/>
    </xf>
    <xf numFmtId="0" fontId="52" fillId="0" borderId="9" xfId="0" applyFont="1" applyBorder="1" applyAlignment="1">
      <alignment horizontal="right"/>
    </xf>
    <xf numFmtId="0" fontId="168" fillId="0" borderId="0" xfId="0" applyFont="1"/>
    <xf numFmtId="44" fontId="10" fillId="0" borderId="0" xfId="0" applyNumberFormat="1" applyFont="1"/>
    <xf numFmtId="0" fontId="10" fillId="2" borderId="0" xfId="0" applyFont="1" applyFill="1"/>
    <xf numFmtId="0" fontId="117" fillId="2" borderId="8" xfId="0" applyFont="1" applyFill="1" applyBorder="1" applyAlignment="1">
      <alignment horizontal="right"/>
    </xf>
    <xf numFmtId="3" fontId="40" fillId="15" borderId="6" xfId="0" applyNumberFormat="1" applyFont="1" applyFill="1" applyBorder="1" applyAlignment="1">
      <alignment horizontal="left"/>
    </xf>
    <xf numFmtId="0" fontId="113" fillId="0" borderId="0" xfId="0" applyFont="1" applyAlignment="1">
      <alignment horizontal="left"/>
    </xf>
    <xf numFmtId="0" fontId="52" fillId="16" borderId="0" xfId="0" applyFont="1" applyFill="1"/>
    <xf numFmtId="0" fontId="52" fillId="16" borderId="1" xfId="0" applyFont="1" applyFill="1" applyBorder="1" applyAlignment="1">
      <alignment horizontal="left"/>
    </xf>
    <xf numFmtId="0" fontId="117" fillId="0" borderId="85" xfId="0" applyFont="1" applyBorder="1" applyAlignment="1">
      <alignment horizontal="right" vertical="center"/>
    </xf>
    <xf numFmtId="0" fontId="52" fillId="16" borderId="9" xfId="0" applyFont="1" applyFill="1" applyBorder="1"/>
    <xf numFmtId="169" fontId="169" fillId="0" borderId="0" xfId="0" applyNumberFormat="1" applyFont="1"/>
    <xf numFmtId="0" fontId="99" fillId="0" borderId="0" xfId="0" applyFont="1"/>
    <xf numFmtId="0" fontId="52" fillId="3" borderId="7" xfId="0" applyFont="1" applyFill="1" applyBorder="1" applyProtection="1">
      <protection locked="0" hidden="1"/>
    </xf>
    <xf numFmtId="0" fontId="165" fillId="15" borderId="0" xfId="0" applyFont="1" applyFill="1"/>
    <xf numFmtId="0" fontId="167" fillId="0" borderId="9" xfId="0" applyFont="1" applyBorder="1"/>
    <xf numFmtId="1" fontId="165" fillId="0" borderId="0" xfId="0" applyNumberFormat="1" applyFont="1"/>
    <xf numFmtId="0" fontId="117" fillId="0" borderId="0" xfId="0" applyFont="1" applyAlignment="1">
      <alignment horizontal="right" vertical="top"/>
    </xf>
    <xf numFmtId="0" fontId="10" fillId="0" borderId="0" xfId="0" applyFont="1" applyAlignment="1">
      <alignment horizontal="center"/>
    </xf>
    <xf numFmtId="2" fontId="171" fillId="0" borderId="0" xfId="0" applyNumberFormat="1" applyFont="1" applyAlignment="1">
      <alignment horizontal="right"/>
    </xf>
    <xf numFmtId="2" fontId="110" fillId="0" borderId="0" xfId="0" applyNumberFormat="1" applyFont="1" applyProtection="1">
      <protection locked="0"/>
    </xf>
    <xf numFmtId="0" fontId="165" fillId="0" borderId="0" xfId="0" applyFont="1"/>
    <xf numFmtId="0" fontId="172" fillId="3" borderId="109" xfId="0" applyFont="1" applyFill="1" applyBorder="1"/>
    <xf numFmtId="0" fontId="50" fillId="0" borderId="21" xfId="0" applyFont="1" applyBorder="1"/>
    <xf numFmtId="1" fontId="10" fillId="8" borderId="106" xfId="0" applyNumberFormat="1" applyFont="1" applyFill="1" applyBorder="1"/>
    <xf numFmtId="166" fontId="63" fillId="0" borderId="0" xfId="0" applyNumberFormat="1" applyFont="1" applyAlignment="1" applyProtection="1">
      <alignment horizontal="right"/>
      <protection hidden="1"/>
    </xf>
    <xf numFmtId="0" fontId="52" fillId="0" borderId="120" xfId="0" applyFont="1" applyBorder="1" applyAlignment="1">
      <alignment horizontal="left" vertical="center"/>
    </xf>
    <xf numFmtId="0" fontId="52" fillId="3" borderId="120" xfId="0" applyFont="1" applyFill="1" applyBorder="1" applyAlignment="1">
      <alignment horizontal="left" vertical="center"/>
    </xf>
    <xf numFmtId="0" fontId="52" fillId="18" borderId="120" xfId="0" applyFont="1" applyFill="1" applyBorder="1" applyAlignment="1">
      <alignment horizontal="left" vertical="center"/>
    </xf>
    <xf numFmtId="1" fontId="52" fillId="17" borderId="120" xfId="1" applyNumberFormat="1" applyFont="1" applyFill="1" applyBorder="1" applyAlignment="1">
      <alignment horizontal="left" vertical="center"/>
    </xf>
    <xf numFmtId="1" fontId="52" fillId="3" borderId="120" xfId="1" applyNumberFormat="1" applyFont="1" applyFill="1" applyBorder="1" applyAlignment="1">
      <alignment horizontal="left" vertical="center"/>
    </xf>
    <xf numFmtId="0" fontId="52" fillId="17" borderId="36" xfId="1" applyNumberFormat="1" applyFont="1" applyFill="1" applyBorder="1" applyAlignment="1">
      <alignment horizontal="left" vertical="center"/>
    </xf>
    <xf numFmtId="0" fontId="52" fillId="3" borderId="121" xfId="1" applyNumberFormat="1" applyFont="1" applyFill="1" applyBorder="1" applyAlignment="1">
      <alignment horizontal="left" vertical="center"/>
    </xf>
    <xf numFmtId="0" fontId="48" fillId="15" borderId="0" xfId="0" applyFont="1" applyFill="1" applyAlignment="1">
      <alignment horizontal="center" vertical="top" wrapText="1"/>
    </xf>
    <xf numFmtId="0" fontId="48" fillId="15" borderId="47" xfId="0" applyFont="1" applyFill="1" applyBorder="1" applyAlignment="1">
      <alignment horizontal="center" vertical="top" wrapText="1"/>
    </xf>
    <xf numFmtId="0" fontId="48" fillId="20" borderId="47" xfId="0" applyFont="1" applyFill="1" applyBorder="1" applyAlignment="1">
      <alignment horizontal="center" vertical="top" wrapText="1"/>
    </xf>
    <xf numFmtId="1" fontId="127" fillId="2" borderId="0" xfId="0" applyNumberFormat="1" applyFont="1" applyFill="1" applyAlignment="1">
      <alignment vertical="center"/>
    </xf>
    <xf numFmtId="0" fontId="49" fillId="0" borderId="27" xfId="0" applyFont="1" applyBorder="1"/>
    <xf numFmtId="0" fontId="153" fillId="0" borderId="0" xfId="0" applyFont="1" applyAlignment="1">
      <alignment horizontal="right"/>
    </xf>
    <xf numFmtId="165" fontId="165" fillId="15" borderId="104" xfId="0" applyNumberFormat="1" applyFont="1" applyFill="1" applyBorder="1" applyProtection="1">
      <protection locked="0"/>
    </xf>
    <xf numFmtId="0" fontId="174" fillId="0" borderId="0" xfId="0" applyFont="1"/>
    <xf numFmtId="1" fontId="109" fillId="3" borderId="7" xfId="0" applyNumberFormat="1" applyFont="1" applyFill="1" applyBorder="1" applyAlignment="1">
      <alignment vertical="center"/>
    </xf>
    <xf numFmtId="2" fontId="169" fillId="0" borderId="122" xfId="0" applyNumberFormat="1" applyFont="1" applyBorder="1" applyAlignment="1" applyProtection="1">
      <alignment horizontal="center"/>
      <protection locked="0"/>
    </xf>
    <xf numFmtId="0" fontId="127" fillId="0" borderId="38" xfId="0" applyFont="1" applyBorder="1" applyAlignment="1">
      <alignment vertical="center"/>
    </xf>
    <xf numFmtId="166" fontId="140" fillId="0" borderId="0" xfId="0" applyNumberFormat="1" applyFont="1" applyAlignment="1" applyProtection="1">
      <alignment vertical="center"/>
      <protection hidden="1"/>
    </xf>
    <xf numFmtId="1" fontId="173" fillId="15" borderId="123" xfId="0" applyNumberFormat="1" applyFont="1" applyFill="1" applyBorder="1" applyAlignment="1" applyProtection="1">
      <alignment horizontal="center"/>
      <protection locked="0" hidden="1"/>
    </xf>
    <xf numFmtId="0" fontId="176" fillId="0" borderId="32" xfId="0" applyFont="1" applyBorder="1" applyAlignment="1">
      <alignment vertical="center"/>
    </xf>
    <xf numFmtId="49" fontId="177" fillId="11" borderId="114" xfId="0" applyNumberFormat="1" applyFont="1" applyFill="1" applyBorder="1" applyAlignment="1">
      <alignment horizontal="center" vertical="center"/>
    </xf>
    <xf numFmtId="0" fontId="51" fillId="3" borderId="109" xfId="0" applyFont="1" applyFill="1" applyBorder="1"/>
    <xf numFmtId="1" fontId="35" fillId="8" borderId="32" xfId="0" applyNumberFormat="1" applyFont="1" applyFill="1" applyBorder="1"/>
    <xf numFmtId="0" fontId="86" fillId="3" borderId="7" xfId="0" applyFont="1" applyFill="1" applyBorder="1" applyAlignment="1">
      <alignment horizontal="center" vertical="center"/>
    </xf>
    <xf numFmtId="0" fontId="109" fillId="3" borderId="54" xfId="0" applyFont="1" applyFill="1" applyBorder="1" applyAlignment="1" applyProtection="1">
      <alignment horizontal="right" vertical="center"/>
      <protection locked="0"/>
    </xf>
    <xf numFmtId="0" fontId="100" fillId="23" borderId="53" xfId="0" applyFont="1" applyFill="1" applyBorder="1" applyAlignment="1">
      <alignment horizontal="center" vertical="center"/>
    </xf>
    <xf numFmtId="0" fontId="179" fillId="3" borderId="0" xfId="0" applyFont="1" applyFill="1" applyAlignment="1">
      <alignment horizontal="right" vertical="center"/>
    </xf>
    <xf numFmtId="0" fontId="104" fillId="0" borderId="0" xfId="0" applyFont="1"/>
    <xf numFmtId="0" fontId="171" fillId="0" borderId="0" xfId="0" applyFont="1" applyAlignment="1">
      <alignment horizontal="right"/>
    </xf>
    <xf numFmtId="0" fontId="180" fillId="0" borderId="0" xfId="0" applyFont="1" applyAlignment="1">
      <alignment horizontal="right"/>
    </xf>
    <xf numFmtId="0" fontId="181" fillId="0" borderId="0" xfId="0" applyFont="1" applyAlignment="1">
      <alignment horizontal="right"/>
    </xf>
    <xf numFmtId="0" fontId="58" fillId="0" borderId="7" xfId="0" applyFont="1" applyBorder="1" applyAlignment="1">
      <alignment horizontal="center" vertical="center"/>
    </xf>
    <xf numFmtId="0" fontId="34" fillId="0" borderId="0" xfId="0" applyFont="1" applyAlignment="1">
      <alignment horizontal="right"/>
    </xf>
    <xf numFmtId="0" fontId="182" fillId="0" borderId="0" xfId="0" applyFont="1" applyAlignment="1">
      <alignment horizontal="right" vertical="center"/>
    </xf>
    <xf numFmtId="0" fontId="149" fillId="0" borderId="0" xfId="0" applyFont="1" applyAlignment="1">
      <alignment horizontal="right"/>
    </xf>
    <xf numFmtId="165" fontId="1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/>
    </xf>
    <xf numFmtId="0" fontId="183" fillId="5" borderId="72" xfId="0" applyFont="1" applyFill="1" applyBorder="1" applyAlignment="1">
      <alignment horizontal="right" vertical="center" wrapText="1"/>
    </xf>
    <xf numFmtId="2" fontId="38" fillId="0" borderId="27" xfId="0" applyNumberFormat="1" applyFont="1" applyBorder="1"/>
    <xf numFmtId="1" fontId="59" fillId="0" borderId="34" xfId="0" applyNumberFormat="1" applyFont="1" applyBorder="1"/>
    <xf numFmtId="166" fontId="59" fillId="0" borderId="34" xfId="0" applyNumberFormat="1" applyFont="1" applyBorder="1" applyAlignment="1">
      <alignment horizontal="right"/>
    </xf>
    <xf numFmtId="1" fontId="61" fillId="0" borderId="102" xfId="0" applyNumberFormat="1" applyFont="1" applyBorder="1"/>
    <xf numFmtId="166" fontId="59" fillId="0" borderId="34" xfId="0" applyNumberFormat="1" applyFont="1" applyBorder="1"/>
    <xf numFmtId="2" fontId="38" fillId="8" borderId="28" xfId="0" applyNumberFormat="1" applyFont="1" applyFill="1" applyBorder="1"/>
    <xf numFmtId="0" fontId="59" fillId="8" borderId="34" xfId="0" applyFont="1" applyFill="1" applyBorder="1"/>
    <xf numFmtId="166" fontId="59" fillId="8" borderId="35" xfId="0" applyNumberFormat="1" applyFont="1" applyFill="1" applyBorder="1" applyAlignment="1">
      <alignment vertical="center"/>
    </xf>
    <xf numFmtId="0" fontId="184" fillId="3" borderId="7" xfId="0" applyFont="1" applyFill="1" applyBorder="1" applyAlignment="1" applyProtection="1">
      <alignment horizontal="right"/>
      <protection locked="0"/>
    </xf>
    <xf numFmtId="0" fontId="42" fillId="8" borderId="0" xfId="0" applyFont="1" applyFill="1" applyAlignment="1">
      <alignment vertical="center"/>
    </xf>
    <xf numFmtId="0" fontId="43" fillId="8" borderId="0" xfId="0" applyFont="1" applyFill="1" applyAlignment="1">
      <alignment horizontal="right" vertical="center"/>
    </xf>
    <xf numFmtId="0" fontId="58" fillId="3" borderId="7" xfId="0" applyFont="1" applyFill="1" applyBorder="1" applyAlignment="1" applyProtection="1">
      <alignment horizontal="center"/>
      <protection locked="0"/>
    </xf>
    <xf numFmtId="0" fontId="58" fillId="3" borderId="7" xfId="0" applyFont="1" applyFill="1" applyBorder="1" applyAlignment="1" applyProtection="1">
      <alignment horizontal="center" vertical="center"/>
      <protection locked="0"/>
    </xf>
    <xf numFmtId="0" fontId="187" fillId="0" borderId="0" xfId="0" applyFont="1" applyAlignment="1">
      <alignment horizontal="right" vertical="center"/>
    </xf>
    <xf numFmtId="0" fontId="188" fillId="0" borderId="0" xfId="0" applyFont="1" applyAlignment="1" applyProtection="1">
      <alignment horizontal="right"/>
      <protection hidden="1"/>
    </xf>
    <xf numFmtId="3" fontId="52" fillId="0" borderId="7" xfId="0" applyNumberFormat="1" applyFont="1" applyBorder="1" applyAlignment="1">
      <alignment horizontal="right"/>
    </xf>
    <xf numFmtId="3" fontId="116" fillId="5" borderId="3" xfId="0" applyNumberFormat="1" applyFont="1" applyFill="1" applyBorder="1" applyAlignment="1">
      <alignment horizontal="left" vertical="center"/>
    </xf>
    <xf numFmtId="0" fontId="58" fillId="0" borderId="9" xfId="0" applyFont="1" applyBorder="1" applyAlignment="1">
      <alignment horizontal="right" vertical="center"/>
    </xf>
    <xf numFmtId="0" fontId="33" fillId="6" borderId="40" xfId="0" applyFont="1" applyFill="1" applyBorder="1" applyAlignment="1">
      <alignment vertical="center"/>
    </xf>
    <xf numFmtId="0" fontId="61" fillId="0" borderId="0" xfId="0" applyFont="1"/>
    <xf numFmtId="0" fontId="8" fillId="0" borderId="0" xfId="0" applyFont="1"/>
    <xf numFmtId="0" fontId="8" fillId="0" borderId="0" xfId="0" applyFont="1" applyAlignment="1">
      <alignment horizontal="right" vertical="center"/>
    </xf>
    <xf numFmtId="170" fontId="85" fillId="8" borderId="0" xfId="0" applyNumberFormat="1" applyFont="1" applyFill="1" applyAlignment="1">
      <alignment horizontal="center" vertical="center"/>
    </xf>
    <xf numFmtId="0" fontId="94" fillId="3" borderId="0" xfId="0" applyFont="1" applyFill="1" applyAlignment="1">
      <alignment horizontal="center" vertical="center"/>
    </xf>
    <xf numFmtId="171" fontId="67" fillId="9" borderId="0" xfId="0" applyNumberFormat="1" applyFont="1" applyFill="1" applyAlignment="1">
      <alignment vertical="center"/>
    </xf>
    <xf numFmtId="172" fontId="52" fillId="6" borderId="49" xfId="0" applyNumberFormat="1" applyFont="1" applyFill="1" applyBorder="1"/>
    <xf numFmtId="173" fontId="68" fillId="0" borderId="50" xfId="0" applyNumberFormat="1" applyFont="1" applyBorder="1"/>
    <xf numFmtId="171" fontId="61" fillId="6" borderId="32" xfId="0" applyNumberFormat="1" applyFont="1" applyFill="1" applyBorder="1" applyAlignment="1">
      <alignment horizontal="center"/>
    </xf>
    <xf numFmtId="170" fontId="34" fillId="8" borderId="0" xfId="0" applyNumberFormat="1" applyFont="1" applyFill="1" applyAlignment="1">
      <alignment horizontal="center" vertical="center"/>
    </xf>
    <xf numFmtId="167" fontId="54" fillId="3" borderId="104" xfId="0" applyNumberFormat="1" applyFont="1" applyFill="1" applyBorder="1" applyProtection="1">
      <protection locked="0"/>
    </xf>
    <xf numFmtId="168" fontId="189" fillId="8" borderId="0" xfId="0" applyNumberFormat="1" applyFont="1" applyFill="1" applyAlignment="1">
      <alignment horizontal="center" vertical="center"/>
    </xf>
    <xf numFmtId="175" fontId="52" fillId="3" borderId="104" xfId="0" applyNumberFormat="1" applyFont="1" applyFill="1" applyBorder="1" applyProtection="1">
      <protection locked="0"/>
    </xf>
    <xf numFmtId="176" fontId="52" fillId="3" borderId="104" xfId="0" applyNumberFormat="1" applyFont="1" applyFill="1" applyBorder="1" applyProtection="1">
      <protection locked="0"/>
    </xf>
    <xf numFmtId="171" fontId="67" fillId="24" borderId="33" xfId="0" applyNumberFormat="1" applyFont="1" applyFill="1" applyBorder="1" applyAlignment="1">
      <alignment vertical="center"/>
    </xf>
    <xf numFmtId="171" fontId="52" fillId="10" borderId="62" xfId="0" applyNumberFormat="1" applyFont="1" applyFill="1" applyBorder="1" applyAlignment="1">
      <alignment vertical="center"/>
    </xf>
    <xf numFmtId="171" fontId="143" fillId="0" borderId="97" xfId="0" applyNumberFormat="1" applyFont="1" applyBorder="1" applyAlignment="1">
      <alignment vertical="center"/>
    </xf>
    <xf numFmtId="171" fontId="127" fillId="21" borderId="98" xfId="0" applyNumberFormat="1" applyFont="1" applyFill="1" applyBorder="1" applyAlignment="1">
      <alignment horizontal="center"/>
    </xf>
    <xf numFmtId="171" fontId="170" fillId="15" borderId="0" xfId="0" applyNumberFormat="1" applyFont="1" applyFill="1" applyAlignment="1">
      <alignment horizontal="right"/>
    </xf>
    <xf numFmtId="171" fontId="117" fillId="25" borderId="0" xfId="0" applyNumberFormat="1" applyFont="1" applyFill="1" applyAlignment="1">
      <alignment horizontal="center"/>
    </xf>
    <xf numFmtId="171" fontId="109" fillId="0" borderId="51" xfId="0" applyNumberFormat="1" applyFont="1" applyBorder="1"/>
    <xf numFmtId="1" fontId="58" fillId="0" borderId="7" xfId="0" applyNumberFormat="1" applyFont="1" applyBorder="1" applyAlignment="1">
      <alignment horizontal="right" vertical="center"/>
    </xf>
    <xf numFmtId="165" fontId="10" fillId="0" borderId="0" xfId="0" applyNumberFormat="1" applyFont="1"/>
    <xf numFmtId="171" fontId="116" fillId="4" borderId="0" xfId="0" applyNumberFormat="1" applyFont="1" applyFill="1" applyAlignment="1">
      <alignment horizontal="right"/>
    </xf>
    <xf numFmtId="171" fontId="105" fillId="5" borderId="0" xfId="0" applyNumberFormat="1" applyFont="1" applyFill="1" applyAlignment="1">
      <alignment horizontal="center"/>
    </xf>
    <xf numFmtId="171" fontId="105" fillId="0" borderId="51" xfId="0" applyNumberFormat="1" applyFont="1" applyBorder="1" applyAlignment="1">
      <alignment horizontal="center"/>
    </xf>
    <xf numFmtId="171" fontId="116" fillId="0" borderId="51" xfId="0" applyNumberFormat="1" applyFont="1" applyBorder="1"/>
    <xf numFmtId="171" fontId="67" fillId="14" borderId="40" xfId="0" applyNumberFormat="1" applyFont="1" applyFill="1" applyBorder="1"/>
    <xf numFmtId="171" fontId="35" fillId="6" borderId="40" xfId="0" applyNumberFormat="1" applyFont="1" applyFill="1" applyBorder="1"/>
    <xf numFmtId="171" fontId="10" fillId="0" borderId="0" xfId="3" applyNumberFormat="1" applyFont="1" applyAlignment="1">
      <alignment vertical="center"/>
    </xf>
    <xf numFmtId="171" fontId="10" fillId="0" borderId="0" xfId="0" applyNumberFormat="1" applyFont="1" applyAlignment="1">
      <alignment horizontal="right" vertical="center" wrapText="1"/>
    </xf>
    <xf numFmtId="171" fontId="10" fillId="0" borderId="0" xfId="0" applyNumberFormat="1" applyFont="1" applyAlignment="1">
      <alignment horizontal="right" vertical="center"/>
    </xf>
    <xf numFmtId="171" fontId="10" fillId="0" borderId="0" xfId="0" applyNumberFormat="1" applyFont="1" applyAlignment="1">
      <alignment vertical="center"/>
    </xf>
    <xf numFmtId="171" fontId="10" fillId="0" borderId="0" xfId="0" applyNumberFormat="1" applyFont="1"/>
    <xf numFmtId="178" fontId="86" fillId="3" borderId="31" xfId="0" applyNumberFormat="1" applyFont="1" applyFill="1" applyBorder="1" applyAlignment="1" applyProtection="1">
      <alignment vertical="center"/>
      <protection locked="0"/>
    </xf>
    <xf numFmtId="177" fontId="127" fillId="10" borderId="59" xfId="0" applyNumberFormat="1" applyFont="1" applyFill="1" applyBorder="1" applyAlignment="1">
      <alignment vertical="center"/>
    </xf>
    <xf numFmtId="177" fontId="127" fillId="0" borderId="60" xfId="0" applyNumberFormat="1" applyFont="1" applyBorder="1" applyAlignment="1">
      <alignment vertical="center"/>
    </xf>
    <xf numFmtId="177" fontId="127" fillId="10" borderId="60" xfId="0" applyNumberFormat="1" applyFont="1" applyFill="1" applyBorder="1" applyAlignment="1">
      <alignment vertical="center"/>
    </xf>
    <xf numFmtId="177" fontId="127" fillId="10" borderId="34" xfId="0" applyNumberFormat="1" applyFont="1" applyFill="1" applyBorder="1" applyAlignment="1">
      <alignment vertical="center"/>
    </xf>
    <xf numFmtId="177" fontId="127" fillId="0" borderId="34" xfId="0" applyNumberFormat="1" applyFont="1" applyBorder="1" applyAlignment="1">
      <alignment vertical="center"/>
    </xf>
    <xf numFmtId="177" fontId="52" fillId="3" borderId="7" xfId="0" applyNumberFormat="1" applyFont="1" applyFill="1" applyBorder="1" applyAlignment="1" applyProtection="1">
      <alignment vertical="center"/>
      <protection locked="0"/>
    </xf>
    <xf numFmtId="177" fontId="127" fillId="10" borderId="34" xfId="0" applyNumberFormat="1" applyFont="1" applyFill="1" applyBorder="1" applyAlignment="1">
      <alignment horizontal="right" vertical="center"/>
    </xf>
    <xf numFmtId="177" fontId="127" fillId="2" borderId="34" xfId="0" applyNumberFormat="1" applyFont="1" applyFill="1" applyBorder="1" applyAlignment="1">
      <alignment vertical="center"/>
    </xf>
    <xf numFmtId="177" fontId="127" fillId="2" borderId="46" xfId="0" applyNumberFormat="1" applyFont="1" applyFill="1" applyBorder="1" applyAlignment="1">
      <alignment vertical="center"/>
    </xf>
    <xf numFmtId="177" fontId="52" fillId="3" borderId="86" xfId="0" applyNumberFormat="1" applyFont="1" applyFill="1" applyBorder="1" applyAlignment="1" applyProtection="1">
      <alignment vertical="center"/>
      <protection locked="0"/>
    </xf>
    <xf numFmtId="177" fontId="60" fillId="0" borderId="39" xfId="0" applyNumberFormat="1" applyFont="1" applyBorder="1" applyAlignment="1">
      <alignment vertical="center"/>
    </xf>
    <xf numFmtId="177" fontId="127" fillId="10" borderId="88" xfId="0" applyNumberFormat="1" applyFont="1" applyFill="1" applyBorder="1" applyAlignment="1">
      <alignment vertical="center"/>
    </xf>
    <xf numFmtId="177" fontId="127" fillId="0" borderId="119" xfId="0" applyNumberFormat="1" applyFont="1" applyBorder="1" applyAlignment="1">
      <alignment vertical="center"/>
    </xf>
    <xf numFmtId="179" fontId="117" fillId="18" borderId="79" xfId="0" applyNumberFormat="1" applyFont="1" applyFill="1" applyBorder="1"/>
    <xf numFmtId="179" fontId="117" fillId="0" borderId="80" xfId="0" applyNumberFormat="1" applyFont="1" applyBorder="1"/>
    <xf numFmtId="179" fontId="117" fillId="18" borderId="80" xfId="0" applyNumberFormat="1" applyFont="1" applyFill="1" applyBorder="1"/>
    <xf numFmtId="179" fontId="123" fillId="18" borderId="7" xfId="0" applyNumberFormat="1" applyFont="1" applyFill="1" applyBorder="1"/>
    <xf numFmtId="179" fontId="117" fillId="2" borderId="82" xfId="0" applyNumberFormat="1" applyFont="1" applyFill="1" applyBorder="1"/>
    <xf numFmtId="179" fontId="117" fillId="18" borderId="7" xfId="0" applyNumberFormat="1" applyFont="1" applyFill="1" applyBorder="1"/>
    <xf numFmtId="179" fontId="117" fillId="16" borderId="7" xfId="0" applyNumberFormat="1" applyFont="1" applyFill="1" applyBorder="1"/>
    <xf numFmtId="179" fontId="117" fillId="18" borderId="82" xfId="0" applyNumberFormat="1" applyFont="1" applyFill="1" applyBorder="1"/>
    <xf numFmtId="179" fontId="117" fillId="0" borderId="83" xfId="0" applyNumberFormat="1" applyFont="1" applyBorder="1"/>
    <xf numFmtId="179" fontId="117" fillId="0" borderId="79" xfId="0" applyNumberFormat="1" applyFont="1" applyBorder="1"/>
    <xf numFmtId="179" fontId="117" fillId="0" borderId="84" xfId="0" applyNumberFormat="1" applyFont="1" applyBorder="1"/>
    <xf numFmtId="179" fontId="117" fillId="18" borderId="16" xfId="0" applyNumberFormat="1" applyFont="1" applyFill="1" applyBorder="1"/>
    <xf numFmtId="179" fontId="10" fillId="16" borderId="7" xfId="0" applyNumberFormat="1" applyFont="1" applyFill="1" applyBorder="1"/>
    <xf numFmtId="179" fontId="117" fillId="0" borderId="7" xfId="0" applyNumberFormat="1" applyFont="1" applyBorder="1"/>
    <xf numFmtId="179" fontId="117" fillId="0" borderId="124" xfId="0" applyNumberFormat="1" applyFont="1" applyBorder="1" applyAlignment="1">
      <alignment horizontal="right"/>
    </xf>
    <xf numFmtId="178" fontId="86" fillId="16" borderId="9" xfId="0" applyNumberFormat="1" applyFont="1" applyFill="1" applyBorder="1"/>
    <xf numFmtId="177" fontId="105" fillId="5" borderId="5" xfId="0" applyNumberFormat="1" applyFont="1" applyFill="1" applyBorder="1"/>
    <xf numFmtId="177" fontId="105" fillId="0" borderId="5" xfId="0" applyNumberFormat="1" applyFont="1" applyBorder="1"/>
    <xf numFmtId="177" fontId="105" fillId="2" borderId="5" xfId="0" applyNumberFormat="1" applyFont="1" applyFill="1" applyBorder="1"/>
    <xf numFmtId="177" fontId="105" fillId="5" borderId="18" xfId="0" applyNumberFormat="1" applyFont="1" applyFill="1" applyBorder="1"/>
    <xf numFmtId="177" fontId="134" fillId="4" borderId="110" xfId="0" applyNumberFormat="1" applyFont="1" applyFill="1" applyBorder="1"/>
    <xf numFmtId="177" fontId="52" fillId="3" borderId="7" xfId="0" applyNumberFormat="1" applyFont="1" applyFill="1" applyBorder="1"/>
    <xf numFmtId="177" fontId="52" fillId="3" borderId="19" xfId="0" applyNumberFormat="1" applyFont="1" applyFill="1" applyBorder="1"/>
    <xf numFmtId="177" fontId="105" fillId="3" borderId="5" xfId="0" applyNumberFormat="1" applyFont="1" applyFill="1" applyBorder="1"/>
    <xf numFmtId="177" fontId="105" fillId="5" borderId="20" xfId="0" applyNumberFormat="1" applyFont="1" applyFill="1" applyBorder="1"/>
    <xf numFmtId="177" fontId="105" fillId="3" borderId="125" xfId="0" applyNumberFormat="1" applyFont="1" applyFill="1" applyBorder="1"/>
    <xf numFmtId="177" fontId="60" fillId="0" borderId="66" xfId="0" applyNumberFormat="1" applyFont="1" applyBorder="1"/>
    <xf numFmtId="177" fontId="59" fillId="4" borderId="46" xfId="0" applyNumberFormat="1" applyFont="1" applyFill="1" applyBorder="1"/>
    <xf numFmtId="177" fontId="105" fillId="0" borderId="46" xfId="0" applyNumberFormat="1" applyFont="1" applyBorder="1"/>
    <xf numFmtId="177" fontId="105" fillId="4" borderId="99" xfId="0" applyNumberFormat="1" applyFont="1" applyFill="1" applyBorder="1"/>
    <xf numFmtId="177" fontId="105" fillId="2" borderId="100" xfId="0" applyNumberFormat="1" applyFont="1" applyFill="1" applyBorder="1"/>
    <xf numFmtId="177" fontId="105" fillId="4" borderId="100" xfId="0" applyNumberFormat="1" applyFont="1" applyFill="1" applyBorder="1"/>
    <xf numFmtId="177" fontId="0" fillId="5" borderId="34" xfId="0" applyNumberFormat="1" applyFill="1" applyBorder="1"/>
    <xf numFmtId="177" fontId="105" fillId="4" borderId="101" xfId="0" applyNumberFormat="1" applyFont="1" applyFill="1" applyBorder="1"/>
    <xf numFmtId="177" fontId="61" fillId="0" borderId="32" xfId="0" applyNumberFormat="1" applyFont="1" applyBorder="1"/>
    <xf numFmtId="180" fontId="86" fillId="3" borderId="7" xfId="0" applyNumberFormat="1" applyFont="1" applyFill="1" applyBorder="1"/>
    <xf numFmtId="179" fontId="35" fillId="8" borderId="40" xfId="0" applyNumberFormat="1" applyFont="1" applyFill="1" applyBorder="1" applyAlignment="1">
      <alignment vertical="center"/>
    </xf>
    <xf numFmtId="179" fontId="35" fillId="0" borderId="0" xfId="0" applyNumberFormat="1" applyFont="1" applyAlignment="1">
      <alignment vertical="center"/>
    </xf>
    <xf numFmtId="179" fontId="10" fillId="8" borderId="40" xfId="0" applyNumberFormat="1" applyFont="1" applyFill="1" applyBorder="1" applyAlignment="1">
      <alignment vertical="center"/>
    </xf>
    <xf numFmtId="179" fontId="10" fillId="0" borderId="112" xfId="0" applyNumberFormat="1" applyFont="1" applyBorder="1" applyAlignment="1">
      <alignment vertical="center"/>
    </xf>
    <xf numFmtId="179" fontId="35" fillId="8" borderId="32" xfId="0" applyNumberFormat="1" applyFont="1" applyFill="1" applyBorder="1" applyAlignment="1">
      <alignment vertical="center"/>
    </xf>
    <xf numFmtId="179" fontId="117" fillId="18" borderId="108" xfId="0" applyNumberFormat="1" applyFont="1" applyFill="1" applyBorder="1" applyAlignment="1">
      <alignment vertical="center"/>
    </xf>
    <xf numFmtId="179" fontId="10" fillId="8" borderId="32" xfId="0" applyNumberFormat="1" applyFont="1" applyFill="1" applyBorder="1" applyAlignment="1">
      <alignment vertical="center"/>
    </xf>
    <xf numFmtId="179" fontId="10" fillId="0" borderId="32" xfId="0" applyNumberFormat="1" applyFont="1" applyBorder="1" applyAlignment="1">
      <alignment vertical="center"/>
    </xf>
    <xf numFmtId="179" fontId="10" fillId="0" borderId="40" xfId="0" applyNumberFormat="1" applyFont="1" applyBorder="1" applyAlignment="1">
      <alignment vertical="center"/>
    </xf>
    <xf numFmtId="179" fontId="35" fillId="8" borderId="102" xfId="0" applyNumberFormat="1" applyFont="1" applyFill="1" applyBorder="1" applyAlignment="1">
      <alignment vertical="center"/>
    </xf>
    <xf numFmtId="179" fontId="52" fillId="18" borderId="0" xfId="0" applyNumberFormat="1" applyFont="1" applyFill="1" applyAlignment="1">
      <alignment vertical="center"/>
    </xf>
    <xf numFmtId="175" fontId="52" fillId="3" borderId="104" xfId="0" applyNumberFormat="1" applyFont="1" applyFill="1" applyBorder="1" applyAlignment="1" applyProtection="1">
      <alignment vertical="center"/>
      <protection locked="0"/>
    </xf>
    <xf numFmtId="176" fontId="52" fillId="3" borderId="104" xfId="0" applyNumberFormat="1" applyFont="1" applyFill="1" applyBorder="1" applyAlignment="1" applyProtection="1">
      <alignment vertical="center"/>
      <protection locked="0"/>
    </xf>
    <xf numFmtId="0" fontId="66" fillId="6" borderId="0" xfId="0" applyFont="1" applyFill="1" applyAlignment="1">
      <alignment vertical="center"/>
    </xf>
    <xf numFmtId="0" fontId="185" fillId="8" borderId="7" xfId="0" applyFont="1" applyFill="1" applyBorder="1" applyAlignment="1" applyProtection="1">
      <alignment horizontal="right"/>
    </xf>
    <xf numFmtId="182" fontId="127" fillId="0" borderId="61" xfId="0" applyNumberFormat="1" applyFont="1" applyBorder="1" applyAlignment="1">
      <alignment vertical="center"/>
    </xf>
    <xf numFmtId="182" fontId="127" fillId="10" borderId="58" xfId="0" applyNumberFormat="1" applyFont="1" applyFill="1" applyBorder="1" applyAlignment="1">
      <alignment vertical="center"/>
    </xf>
    <xf numFmtId="182" fontId="127" fillId="0" borderId="28" xfId="0" applyNumberFormat="1" applyFont="1" applyBorder="1" applyAlignment="1">
      <alignment vertical="center"/>
    </xf>
    <xf numFmtId="183" fontId="40" fillId="26" borderId="0" xfId="0" applyNumberFormat="1" applyFont="1" applyFill="1" applyAlignment="1">
      <alignment horizontal="center" vertical="center"/>
    </xf>
    <xf numFmtId="2" fontId="61" fillId="0" borderId="32" xfId="0" applyNumberFormat="1" applyFont="1" applyBorder="1"/>
    <xf numFmtId="0" fontId="10" fillId="0" borderId="0" xfId="0" applyFont="1" applyAlignment="1">
      <alignment horizontal="center" vertical="center"/>
    </xf>
    <xf numFmtId="0" fontId="111" fillId="0" borderId="0" xfId="0" applyFont="1" applyProtection="1">
      <protection hidden="1"/>
    </xf>
    <xf numFmtId="0" fontId="186" fillId="0" borderId="0" xfId="0" applyFont="1" applyProtection="1">
      <protection hidden="1"/>
    </xf>
    <xf numFmtId="0" fontId="50" fillId="0" borderId="0" xfId="0" applyFont="1" applyAlignment="1" applyProtection="1">
      <alignment horizontal="right" vertical="center"/>
      <protection hidden="1"/>
    </xf>
    <xf numFmtId="0" fontId="49" fillId="0" borderId="0" xfId="0" applyFont="1" applyAlignment="1" applyProtection="1">
      <alignment horizontal="right"/>
      <protection hidden="1"/>
    </xf>
    <xf numFmtId="1" fontId="63" fillId="0" borderId="0" xfId="0" applyNumberFormat="1" applyFont="1" applyAlignment="1" applyProtection="1">
      <alignment horizontal="right" vertical="center"/>
      <protection hidden="1"/>
    </xf>
    <xf numFmtId="0" fontId="43" fillId="0" borderId="0" xfId="0" applyFont="1" applyProtection="1">
      <protection hidden="1"/>
    </xf>
    <xf numFmtId="169" fontId="64" fillId="0" borderId="0" xfId="0" applyNumberFormat="1" applyFont="1" applyProtection="1">
      <protection hidden="1"/>
    </xf>
    <xf numFmtId="0" fontId="85" fillId="0" borderId="0" xfId="0" applyFont="1" applyAlignment="1">
      <alignment horizontal="center"/>
    </xf>
    <xf numFmtId="0" fontId="129" fillId="0" borderId="0" xfId="0" applyFont="1" applyAlignment="1">
      <alignment horizontal="right"/>
    </xf>
    <xf numFmtId="0" fontId="187" fillId="0" borderId="0" xfId="0" applyFont="1" applyAlignment="1">
      <alignment horizontal="right"/>
    </xf>
    <xf numFmtId="0" fontId="40" fillId="11" borderId="0" xfId="0" applyFont="1" applyFill="1" applyAlignment="1">
      <alignment horizontal="center" vertical="center"/>
    </xf>
    <xf numFmtId="0" fontId="67" fillId="11" borderId="0" xfId="0" applyFont="1" applyFill="1" applyAlignment="1">
      <alignment horizontal="center" vertical="center"/>
    </xf>
    <xf numFmtId="168" fontId="34" fillId="8" borderId="0" xfId="0" applyNumberFormat="1" applyFont="1" applyFill="1" applyAlignment="1">
      <alignment vertical="center"/>
    </xf>
    <xf numFmtId="184" fontId="175" fillId="6" borderId="0" xfId="0" applyNumberFormat="1" applyFont="1" applyFill="1" applyAlignment="1">
      <alignment vertical="center"/>
    </xf>
    <xf numFmtId="0" fontId="34" fillId="6" borderId="0" xfId="0" applyFont="1" applyFill="1"/>
    <xf numFmtId="0" fontId="117" fillId="8" borderId="0" xfId="0" applyFont="1" applyFill="1" applyAlignment="1">
      <alignment vertical="center"/>
    </xf>
    <xf numFmtId="2" fontId="59" fillId="8" borderId="34" xfId="0" applyNumberFormat="1" applyFont="1" applyFill="1" applyBorder="1" applyAlignment="1">
      <alignment horizontal="right" vertical="center"/>
    </xf>
    <xf numFmtId="0" fontId="65" fillId="0" borderId="0" xfId="0" applyFont="1" applyFill="1" applyBorder="1"/>
    <xf numFmtId="0" fontId="50" fillId="3" borderId="21" xfId="0" applyFont="1" applyFill="1" applyBorder="1" applyProtection="1">
      <protection locked="0"/>
    </xf>
    <xf numFmtId="0" fontId="66" fillId="6" borderId="40" xfId="0" applyFont="1" applyFill="1" applyBorder="1"/>
    <xf numFmtId="0" fontId="52" fillId="3" borderId="7" xfId="0" applyFont="1" applyFill="1" applyBorder="1" applyAlignment="1">
      <alignment horizontal="center" vertical="center"/>
    </xf>
    <xf numFmtId="0" fontId="52" fillId="3" borderId="15" xfId="0" applyFont="1" applyFill="1" applyBorder="1" applyAlignment="1">
      <alignment vertical="center"/>
    </xf>
    <xf numFmtId="0" fontId="105" fillId="2" borderId="71" xfId="0" applyFont="1" applyFill="1" applyBorder="1" applyAlignment="1">
      <alignment horizontal="left" vertical="center"/>
    </xf>
    <xf numFmtId="0" fontId="105" fillId="5" borderId="2" xfId="0" applyFont="1" applyFill="1" applyBorder="1" applyAlignment="1">
      <alignment horizontal="left" vertical="center"/>
    </xf>
    <xf numFmtId="0" fontId="105" fillId="4" borderId="67" xfId="0" applyFont="1" applyFill="1" applyBorder="1" applyAlignment="1">
      <alignment horizontal="left" vertical="center"/>
    </xf>
    <xf numFmtId="0" fontId="105" fillId="4" borderId="14" xfId="0" applyFont="1" applyFill="1" applyBorder="1" applyAlignment="1">
      <alignment horizontal="right" vertical="center"/>
    </xf>
    <xf numFmtId="3" fontId="191" fillId="5" borderId="3" xfId="0" applyNumberFormat="1" applyFont="1" applyFill="1" applyBorder="1" applyAlignment="1">
      <alignment horizontal="left" vertical="center"/>
    </xf>
    <xf numFmtId="49" fontId="178" fillId="4" borderId="0" xfId="0" applyNumberFormat="1" applyFont="1" applyFill="1" applyAlignment="1">
      <alignment horizontal="right" vertical="center"/>
    </xf>
    <xf numFmtId="2" fontId="105" fillId="0" borderId="0" xfId="0" applyNumberFormat="1" applyFont="1" applyFill="1"/>
    <xf numFmtId="0" fontId="108" fillId="0" borderId="0" xfId="0" applyFont="1" applyFill="1"/>
    <xf numFmtId="0" fontId="192" fillId="0" borderId="0" xfId="0" applyFont="1" applyFill="1"/>
    <xf numFmtId="0" fontId="142" fillId="0" borderId="92" xfId="0" applyFont="1" applyBorder="1" applyProtection="1"/>
    <xf numFmtId="0" fontId="79" fillId="0" borderId="0" xfId="0" applyFont="1"/>
    <xf numFmtId="0" fontId="10" fillId="0" borderId="0" xfId="0" applyFont="1" applyFill="1"/>
    <xf numFmtId="184" fontId="117" fillId="0" borderId="81" xfId="0" applyNumberFormat="1" applyFont="1" applyBorder="1"/>
    <xf numFmtId="0" fontId="166" fillId="0" borderId="0" xfId="0" applyNumberFormat="1" applyFont="1"/>
    <xf numFmtId="0" fontId="167" fillId="0" borderId="0" xfId="0" applyNumberFormat="1" applyFont="1"/>
    <xf numFmtId="0" fontId="10" fillId="0" borderId="0" xfId="0" applyNumberFormat="1" applyFont="1"/>
    <xf numFmtId="0" fontId="52" fillId="0" borderId="51" xfId="0" applyNumberFormat="1" applyFont="1" applyBorder="1" applyAlignment="1">
      <alignment horizontal="center"/>
    </xf>
    <xf numFmtId="0" fontId="193" fillId="0" borderId="0" xfId="0" applyFont="1"/>
    <xf numFmtId="0" fontId="86" fillId="18" borderId="7" xfId="0" applyNumberFormat="1" applyFont="1" applyFill="1" applyBorder="1" applyAlignment="1">
      <alignment horizontal="right"/>
    </xf>
    <xf numFmtId="0" fontId="38" fillId="6" borderId="0" xfId="0" applyFont="1" applyFill="1" applyAlignment="1">
      <alignment horizontal="center"/>
    </xf>
    <xf numFmtId="0" fontId="40" fillId="28" borderId="0" xfId="0" applyFont="1" applyFill="1" applyAlignment="1">
      <alignment horizontal="right" vertical="center"/>
    </xf>
    <xf numFmtId="181" fontId="81" fillId="0" borderId="0" xfId="0" applyNumberFormat="1" applyFont="1" applyAlignment="1">
      <alignment horizontal="right"/>
    </xf>
    <xf numFmtId="0" fontId="194" fillId="27" borderId="0" xfId="0" applyFont="1" applyFill="1" applyAlignment="1">
      <alignment horizontal="right" vertical="center"/>
    </xf>
    <xf numFmtId="0" fontId="7" fillId="0" borderId="0" xfId="0" applyFont="1"/>
    <xf numFmtId="0" fontId="7" fillId="13" borderId="0" xfId="0" applyFont="1" applyFill="1"/>
    <xf numFmtId="14" fontId="7" fillId="0" borderId="0" xfId="0" applyNumberFormat="1" applyFont="1"/>
    <xf numFmtId="0" fontId="195" fillId="0" borderId="0" xfId="0" applyFont="1"/>
    <xf numFmtId="184" fontId="100" fillId="23" borderId="17" xfId="0" applyNumberFormat="1" applyFont="1" applyFill="1" applyBorder="1" applyAlignment="1">
      <alignment horizontal="center" vertical="center"/>
    </xf>
    <xf numFmtId="3" fontId="85" fillId="0" borderId="17" xfId="0" applyNumberFormat="1" applyFont="1" applyBorder="1" applyAlignment="1">
      <alignment horizontal="center" vertical="center"/>
    </xf>
    <xf numFmtId="0" fontId="85" fillId="10" borderId="17" xfId="0" applyFont="1" applyFill="1" applyBorder="1" applyAlignment="1">
      <alignment horizontal="left" vertical="center" indent="1"/>
    </xf>
    <xf numFmtId="0" fontId="79" fillId="3" borderId="127" xfId="0" applyFont="1" applyFill="1" applyBorder="1" applyAlignment="1">
      <alignment horizontal="center" vertical="center"/>
    </xf>
    <xf numFmtId="185" fontId="85" fillId="10" borderId="17" xfId="0" applyNumberFormat="1" applyFont="1" applyFill="1" applyBorder="1" applyAlignment="1">
      <alignment horizontal="center" vertical="center"/>
    </xf>
    <xf numFmtId="0" fontId="33" fillId="10" borderId="17" xfId="0" applyFont="1" applyFill="1" applyBorder="1" applyAlignment="1">
      <alignment vertical="center" wrapText="1"/>
    </xf>
    <xf numFmtId="0" fontId="10" fillId="0" borderId="0" xfId="0" applyFont="1" applyAlignment="1">
      <alignment horizontal="left" vertical="center"/>
    </xf>
    <xf numFmtId="0" fontId="171" fillId="3" borderId="0" xfId="0" applyFont="1" applyFill="1" applyBorder="1" applyAlignment="1">
      <alignment horizontal="left" vertical="center" wrapText="1" indent="1"/>
    </xf>
    <xf numFmtId="0" fontId="10" fillId="21" borderId="17" xfId="0" applyFont="1" applyFill="1" applyBorder="1" applyAlignment="1">
      <alignment horizontal="right" vertical="center"/>
    </xf>
    <xf numFmtId="0" fontId="10" fillId="0" borderId="17" xfId="0" applyFont="1" applyBorder="1" applyAlignment="1">
      <alignment horizontal="right" vertical="center"/>
    </xf>
    <xf numFmtId="0" fontId="24" fillId="0" borderId="0" xfId="0" applyFont="1" applyAlignment="1">
      <alignment horizontal="right" vertical="center"/>
    </xf>
    <xf numFmtId="0" fontId="10" fillId="0" borderId="0" xfId="0" applyFont="1" applyAlignment="1">
      <alignment horizontal="left" vertical="center" wrapText="1"/>
    </xf>
    <xf numFmtId="165" fontId="59" fillId="8" borderId="84" xfId="0" applyNumberFormat="1" applyFont="1" applyFill="1" applyBorder="1"/>
    <xf numFmtId="1" fontId="25" fillId="3" borderId="109" xfId="0" applyNumberFormat="1" applyFont="1" applyFill="1" applyBorder="1" applyAlignment="1" applyProtection="1">
      <alignment horizontal="center" vertical="center"/>
      <protection locked="0"/>
    </xf>
    <xf numFmtId="0" fontId="157" fillId="0" borderId="0" xfId="0" applyFont="1" applyFill="1" applyBorder="1" applyAlignment="1">
      <alignment horizontal="center" vertical="center"/>
    </xf>
    <xf numFmtId="165" fontId="49" fillId="0" borderId="0" xfId="0" applyNumberFormat="1" applyFont="1" applyFill="1" applyBorder="1"/>
    <xf numFmtId="0" fontId="34" fillId="10" borderId="17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33" fillId="10" borderId="17" xfId="0" applyFont="1" applyFill="1" applyBorder="1" applyAlignment="1">
      <alignment horizontal="right" wrapText="1"/>
    </xf>
    <xf numFmtId="14" fontId="75" fillId="0" borderId="17" xfId="0" applyNumberFormat="1" applyFont="1" applyFill="1" applyBorder="1" applyAlignment="1">
      <alignment vertical="center"/>
    </xf>
    <xf numFmtId="3" fontId="6" fillId="0" borderId="130" xfId="0" applyNumberFormat="1" applyFont="1" applyBorder="1" applyAlignment="1">
      <alignment horizontal="center" vertical="center"/>
    </xf>
    <xf numFmtId="0" fontId="34" fillId="10" borderId="17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right" vertical="center"/>
    </xf>
    <xf numFmtId="0" fontId="33" fillId="0" borderId="17" xfId="0" applyFont="1" applyFill="1" applyBorder="1" applyAlignment="1">
      <alignment horizontal="right" vertical="center"/>
    </xf>
    <xf numFmtId="3" fontId="196" fillId="3" borderId="17" xfId="0" applyNumberFormat="1" applyFont="1" applyFill="1" applyBorder="1" applyAlignment="1">
      <alignment horizontal="left" vertical="center"/>
    </xf>
    <xf numFmtId="49" fontId="83" fillId="0" borderId="128" xfId="0" applyNumberFormat="1" applyFont="1" applyFill="1" applyBorder="1" applyAlignment="1">
      <alignment horizontal="left" vertical="center" indent="1"/>
    </xf>
    <xf numFmtId="0" fontId="10" fillId="5" borderId="17" xfId="0" applyFont="1" applyFill="1" applyBorder="1" applyAlignment="1">
      <alignment horizontal="right" vertical="center"/>
    </xf>
    <xf numFmtId="0" fontId="85" fillId="4" borderId="17" xfId="0" applyFont="1" applyFill="1" applyBorder="1" applyAlignment="1">
      <alignment horizontal="left" vertical="center" indent="1"/>
    </xf>
    <xf numFmtId="3" fontId="85" fillId="4" borderId="17" xfId="0" applyNumberFormat="1" applyFont="1" applyFill="1" applyBorder="1" applyAlignment="1">
      <alignment horizontal="center" vertical="center"/>
    </xf>
    <xf numFmtId="184" fontId="100" fillId="7" borderId="17" xfId="0" applyNumberFormat="1" applyFont="1" applyFill="1" applyBorder="1" applyAlignment="1">
      <alignment horizontal="center" vertical="center"/>
    </xf>
    <xf numFmtId="49" fontId="79" fillId="0" borderId="128" xfId="0" applyNumberFormat="1" applyFont="1" applyFill="1" applyBorder="1" applyAlignment="1">
      <alignment horizontal="left" vertical="center" indent="1"/>
    </xf>
    <xf numFmtId="0" fontId="116" fillId="0" borderId="126" xfId="0" applyFont="1" applyFill="1" applyBorder="1" applyAlignment="1">
      <alignment horizontal="left" vertical="center" indent="1"/>
    </xf>
    <xf numFmtId="0" fontId="34" fillId="0" borderId="17" xfId="0" applyFont="1" applyFill="1" applyBorder="1" applyAlignment="1">
      <alignment horizontal="center" vertical="center"/>
    </xf>
    <xf numFmtId="3" fontId="85" fillId="0" borderId="17" xfId="0" applyNumberFormat="1" applyFont="1" applyFill="1" applyBorder="1" applyAlignment="1">
      <alignment horizontal="center" vertical="center"/>
    </xf>
    <xf numFmtId="3" fontId="6" fillId="4" borderId="130" xfId="0" applyNumberFormat="1" applyFont="1" applyFill="1" applyBorder="1" applyAlignment="1">
      <alignment horizontal="center" vertical="center"/>
    </xf>
    <xf numFmtId="0" fontId="197" fillId="0" borderId="126" xfId="0" applyFont="1" applyFill="1" applyBorder="1" applyAlignment="1">
      <alignment horizontal="left" vertical="center" indent="1"/>
    </xf>
    <xf numFmtId="0" fontId="34" fillId="0" borderId="0" xfId="0" applyFont="1" applyAlignment="1">
      <alignment horizontal="right" vertical="center"/>
    </xf>
    <xf numFmtId="3" fontId="85" fillId="6" borderId="17" xfId="0" applyNumberFormat="1" applyFont="1" applyFill="1" applyBorder="1" applyAlignment="1">
      <alignment horizontal="center" vertical="center"/>
    </xf>
    <xf numFmtId="184" fontId="100" fillId="11" borderId="17" xfId="0" applyNumberFormat="1" applyFont="1" applyFill="1" applyBorder="1" applyAlignment="1">
      <alignment horizontal="center" vertical="center"/>
    </xf>
    <xf numFmtId="0" fontId="81" fillId="0" borderId="17" xfId="0" applyFont="1" applyBorder="1" applyAlignment="1">
      <alignment horizontal="right" vertical="center" wrapText="1"/>
    </xf>
    <xf numFmtId="3" fontId="199" fillId="0" borderId="130" xfId="0" applyNumberFormat="1" applyFont="1" applyBorder="1" applyAlignment="1">
      <alignment horizontal="center" vertical="center"/>
    </xf>
    <xf numFmtId="0" fontId="33" fillId="21" borderId="17" xfId="0" applyFont="1" applyFill="1" applyBorder="1" applyAlignment="1">
      <alignment horizontal="right" vertical="center"/>
    </xf>
    <xf numFmtId="0" fontId="7" fillId="0" borderId="0" xfId="0" applyFont="1" applyAlignment="1">
      <alignment horizontal="left" vertical="center" indent="1"/>
    </xf>
    <xf numFmtId="0" fontId="34" fillId="0" borderId="17" xfId="0" applyFont="1" applyFill="1" applyBorder="1" applyAlignment="1">
      <alignment horizontal="center" vertical="center" wrapText="1"/>
    </xf>
    <xf numFmtId="0" fontId="85" fillId="0" borderId="17" xfId="0" applyFont="1" applyFill="1" applyBorder="1" applyAlignment="1">
      <alignment horizontal="left" vertical="center" wrapText="1" indent="1"/>
    </xf>
    <xf numFmtId="14" fontId="91" fillId="0" borderId="17" xfId="0" applyNumberFormat="1" applyFont="1" applyFill="1" applyBorder="1" applyAlignment="1">
      <alignment horizontal="center" vertical="center"/>
    </xf>
    <xf numFmtId="0" fontId="34" fillId="0" borderId="17" xfId="0" applyFont="1" applyFill="1" applyBorder="1" applyAlignment="1">
      <alignment horizontal="left" vertical="center" wrapText="1" indent="1"/>
    </xf>
    <xf numFmtId="0" fontId="198" fillId="0" borderId="126" xfId="0" applyFont="1" applyFill="1" applyBorder="1" applyAlignment="1">
      <alignment horizontal="left" vertical="center" indent="1"/>
    </xf>
    <xf numFmtId="0" fontId="34" fillId="0" borderId="17" xfId="0" applyFont="1" applyFill="1" applyBorder="1" applyAlignment="1">
      <alignment horizontal="left" vertical="center" indent="1"/>
    </xf>
    <xf numFmtId="0" fontId="76" fillId="8" borderId="126" xfId="0" applyFont="1" applyFill="1" applyBorder="1" applyAlignment="1">
      <alignment horizontal="left" vertical="center" indent="1"/>
    </xf>
    <xf numFmtId="49" fontId="83" fillId="3" borderId="128" xfId="0" applyNumberFormat="1" applyFont="1" applyFill="1" applyBorder="1" applyAlignment="1">
      <alignment horizontal="left" vertical="center" indent="1"/>
    </xf>
    <xf numFmtId="0" fontId="149" fillId="6" borderId="17" xfId="0" applyFont="1" applyFill="1" applyBorder="1" applyAlignment="1">
      <alignment horizontal="right" wrapText="1"/>
    </xf>
    <xf numFmtId="3" fontId="5" fillId="0" borderId="17" xfId="0" applyNumberFormat="1" applyFont="1" applyBorder="1" applyAlignment="1">
      <alignment horizontal="center" vertical="center"/>
    </xf>
    <xf numFmtId="3" fontId="196" fillId="3" borderId="17" xfId="0" applyNumberFormat="1" applyFont="1" applyFill="1" applyBorder="1" applyAlignment="1">
      <alignment horizontal="left" vertical="center" indent="1"/>
    </xf>
    <xf numFmtId="0" fontId="33" fillId="0" borderId="17" xfId="0" applyFont="1" applyBorder="1" applyAlignment="1">
      <alignment horizontal="right" vertical="center"/>
    </xf>
    <xf numFmtId="186" fontId="119" fillId="0" borderId="17" xfId="0" applyNumberFormat="1" applyFont="1" applyFill="1" applyBorder="1" applyAlignment="1">
      <alignment horizontal="center" vertical="center"/>
    </xf>
    <xf numFmtId="0" fontId="81" fillId="0" borderId="17" xfId="0" applyFont="1" applyFill="1" applyBorder="1" applyAlignment="1">
      <alignment horizontal="right" vertical="center"/>
    </xf>
    <xf numFmtId="0" fontId="121" fillId="0" borderId="17" xfId="0" applyFont="1" applyFill="1" applyBorder="1" applyAlignment="1">
      <alignment horizontal="right" vertical="center"/>
    </xf>
    <xf numFmtId="0" fontId="132" fillId="6" borderId="17" xfId="0" applyFont="1" applyFill="1" applyBorder="1" applyAlignment="1">
      <alignment horizontal="right" vertical="center"/>
    </xf>
    <xf numFmtId="0" fontId="132" fillId="0" borderId="17" xfId="0" applyFont="1" applyBorder="1" applyAlignment="1">
      <alignment horizontal="right" vertical="center"/>
    </xf>
    <xf numFmtId="3" fontId="198" fillId="10" borderId="126" xfId="0" applyNumberFormat="1" applyFont="1" applyFill="1" applyBorder="1" applyAlignment="1">
      <alignment horizontal="left" vertical="center" indent="1"/>
    </xf>
    <xf numFmtId="0" fontId="4" fillId="10" borderId="0" xfId="0" applyFont="1" applyFill="1"/>
    <xf numFmtId="0" fontId="3" fillId="0" borderId="0" xfId="0" applyFont="1"/>
    <xf numFmtId="0" fontId="40" fillId="14" borderId="0" xfId="0" applyFont="1" applyFill="1" applyAlignment="1">
      <alignment horizontal="right" vertical="center"/>
    </xf>
    <xf numFmtId="0" fontId="82" fillId="22" borderId="17" xfId="0" applyFont="1" applyFill="1" applyBorder="1" applyAlignment="1">
      <alignment horizontal="right" vertical="center"/>
    </xf>
    <xf numFmtId="0" fontId="50" fillId="3" borderId="9" xfId="0" applyFont="1" applyFill="1" applyBorder="1" applyAlignment="1" applyProtection="1">
      <alignment horizontal="right" vertical="center"/>
      <protection locked="0"/>
    </xf>
    <xf numFmtId="0" fontId="201" fillId="14" borderId="23" xfId="0" applyFont="1" applyFill="1" applyBorder="1" applyAlignment="1">
      <alignment horizontal="right" vertical="center"/>
    </xf>
    <xf numFmtId="0" fontId="2" fillId="0" borderId="0" xfId="0" applyFont="1"/>
    <xf numFmtId="0" fontId="202" fillId="0" borderId="0" xfId="0" applyFont="1" applyProtection="1">
      <protection hidden="1"/>
    </xf>
    <xf numFmtId="0" fontId="203" fillId="0" borderId="0" xfId="0" applyFont="1" applyAlignment="1">
      <alignment horizontal="center"/>
    </xf>
    <xf numFmtId="0" fontId="10" fillId="11" borderId="0" xfId="0" applyFont="1" applyFill="1" applyAlignment="1">
      <alignment vertical="center"/>
    </xf>
    <xf numFmtId="0" fontId="2" fillId="0" borderId="0" xfId="0" applyFont="1" applyFill="1" applyBorder="1"/>
    <xf numFmtId="2" fontId="2" fillId="0" borderId="0" xfId="0" applyNumberFormat="1" applyFont="1" applyFill="1" applyBorder="1"/>
    <xf numFmtId="0" fontId="2" fillId="0" borderId="0" xfId="0" quotePrefix="1" applyFont="1" applyFill="1" applyBorder="1"/>
    <xf numFmtId="0" fontId="39" fillId="0" borderId="0" xfId="0" applyFont="1"/>
    <xf numFmtId="0" fontId="10" fillId="0" borderId="27" xfId="0" applyFont="1" applyBorder="1"/>
    <xf numFmtId="0" fontId="2" fillId="0" borderId="0" xfId="0" applyFont="1" applyProtection="1">
      <protection hidden="1"/>
    </xf>
    <xf numFmtId="0" fontId="204" fillId="0" borderId="0" xfId="0" applyFont="1" applyFill="1" applyBorder="1"/>
    <xf numFmtId="0" fontId="205" fillId="0" borderId="0" xfId="0" applyFont="1" applyFill="1" applyBorder="1" applyAlignment="1">
      <alignment horizontal="center"/>
    </xf>
    <xf numFmtId="0" fontId="2" fillId="0" borderId="0" xfId="0" applyFont="1" applyAlignment="1">
      <alignment vertical="center"/>
    </xf>
    <xf numFmtId="1" fontId="154" fillId="0" borderId="0" xfId="0" applyNumberFormat="1" applyFont="1" applyProtection="1">
      <protection hidden="1"/>
    </xf>
    <xf numFmtId="0" fontId="2" fillId="2" borderId="0" xfId="0" applyFont="1" applyFill="1" applyProtection="1">
      <protection hidden="1"/>
    </xf>
    <xf numFmtId="169" fontId="10" fillId="0" borderId="0" xfId="0" applyNumberFormat="1" applyFont="1" applyFill="1"/>
    <xf numFmtId="0" fontId="54" fillId="0" borderId="0" xfId="0" applyFont="1" applyAlignment="1">
      <alignment horizontal="right"/>
    </xf>
    <xf numFmtId="165" fontId="2" fillId="0" borderId="0" xfId="0" applyNumberFormat="1" applyFont="1"/>
    <xf numFmtId="0" fontId="78" fillId="0" borderId="0" xfId="0" applyFont="1"/>
    <xf numFmtId="0" fontId="206" fillId="0" borderId="0" xfId="0" applyFont="1"/>
    <xf numFmtId="0" fontId="2" fillId="0" borderId="0" xfId="0" applyFont="1" applyFill="1"/>
    <xf numFmtId="0" fontId="207" fillId="0" borderId="0" xfId="0" applyFont="1"/>
    <xf numFmtId="2" fontId="2" fillId="0" borderId="0" xfId="0" applyNumberFormat="1" applyFont="1"/>
    <xf numFmtId="49" fontId="94" fillId="0" borderId="0" xfId="0" applyNumberFormat="1" applyFont="1" applyAlignment="1">
      <alignment horizontal="center"/>
    </xf>
    <xf numFmtId="168" fontId="34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right" vertical="center"/>
    </xf>
    <xf numFmtId="49" fontId="208" fillId="18" borderId="7" xfId="0" applyNumberFormat="1" applyFont="1" applyFill="1" applyBorder="1" applyAlignment="1" applyProtection="1">
      <alignment horizontal="center"/>
      <protection locked="0"/>
    </xf>
    <xf numFmtId="1" fontId="86" fillId="3" borderId="109" xfId="0" applyNumberFormat="1" applyFont="1" applyFill="1" applyBorder="1" applyAlignment="1" applyProtection="1">
      <alignment horizontal="center" vertical="center"/>
      <protection locked="0"/>
    </xf>
    <xf numFmtId="1" fontId="86" fillId="3" borderId="115" xfId="0" applyNumberFormat="1" applyFont="1" applyFill="1" applyBorder="1" applyAlignment="1" applyProtection="1">
      <alignment horizontal="center" vertical="center"/>
      <protection locked="0"/>
    </xf>
    <xf numFmtId="0" fontId="40" fillId="15" borderId="7" xfId="0" applyFont="1" applyFill="1" applyBorder="1" applyAlignment="1" applyProtection="1">
      <alignment horizontal="right" vertical="center"/>
      <protection locked="0"/>
    </xf>
    <xf numFmtId="0" fontId="60" fillId="0" borderId="23" xfId="0" applyFont="1" applyBorder="1" applyAlignment="1">
      <alignment horizontal="right" vertical="center"/>
    </xf>
    <xf numFmtId="0" fontId="58" fillId="0" borderId="0" xfId="0" applyFont="1" applyAlignment="1">
      <alignment horizontal="right"/>
    </xf>
    <xf numFmtId="0" fontId="10" fillId="8" borderId="34" xfId="0" applyFont="1" applyFill="1" applyBorder="1"/>
    <xf numFmtId="0" fontId="39" fillId="15" borderId="7" xfId="0" applyFont="1" applyFill="1" applyBorder="1" applyProtection="1">
      <protection locked="0"/>
    </xf>
    <xf numFmtId="0" fontId="209" fillId="29" borderId="117" xfId="0" applyFont="1" applyFill="1" applyBorder="1" applyAlignment="1">
      <alignment horizontal="left"/>
    </xf>
    <xf numFmtId="1" fontId="142" fillId="2" borderId="63" xfId="0" applyNumberFormat="1" applyFont="1" applyFill="1" applyBorder="1" applyAlignment="1">
      <alignment horizontal="left" vertical="center"/>
    </xf>
    <xf numFmtId="3" fontId="76" fillId="8" borderId="26" xfId="0" applyNumberFormat="1" applyFont="1" applyFill="1" applyBorder="1" applyAlignment="1">
      <alignment horizontal="left"/>
    </xf>
    <xf numFmtId="169" fontId="38" fillId="0" borderId="0" xfId="0" applyNumberFormat="1" applyFont="1" applyFill="1" applyAlignment="1">
      <alignment horizontal="right"/>
    </xf>
    <xf numFmtId="0" fontId="210" fillId="0" borderId="0" xfId="0" applyFont="1"/>
    <xf numFmtId="3" fontId="5" fillId="8" borderId="17" xfId="0" applyNumberFormat="1" applyFont="1" applyFill="1" applyBorder="1" applyAlignment="1">
      <alignment horizontal="left" vertical="center" indent="1"/>
    </xf>
    <xf numFmtId="0" fontId="52" fillId="0" borderId="0" xfId="0" applyFont="1" applyFill="1" applyBorder="1" applyAlignment="1">
      <alignment horizontal="left" vertical="center"/>
    </xf>
    <xf numFmtId="0" fontId="21" fillId="30" borderId="131" xfId="0" applyFont="1" applyFill="1" applyBorder="1" applyAlignment="1">
      <alignment vertical="center"/>
    </xf>
    <xf numFmtId="0" fontId="21" fillId="30" borderId="132" xfId="0" applyFont="1" applyFill="1" applyBorder="1" applyAlignment="1">
      <alignment horizontal="center" vertical="center"/>
    </xf>
    <xf numFmtId="0" fontId="21" fillId="30" borderId="133" xfId="0" applyFont="1" applyFill="1" applyBorder="1" applyAlignment="1">
      <alignment horizontal="center" vertical="center"/>
    </xf>
    <xf numFmtId="0" fontId="25" fillId="0" borderId="0" xfId="0" applyFont="1" applyFill="1" applyAlignment="1">
      <alignment vertical="center"/>
    </xf>
    <xf numFmtId="0" fontId="25" fillId="0" borderId="0" xfId="0" applyFont="1" applyFill="1" applyAlignment="1">
      <alignment horizontal="center" vertical="center"/>
    </xf>
    <xf numFmtId="1" fontId="54" fillId="3" borderId="109" xfId="0" applyNumberFormat="1" applyFont="1" applyFill="1" applyBorder="1" applyAlignment="1" applyProtection="1">
      <alignment horizontal="center" vertical="center"/>
      <protection locked="0"/>
    </xf>
    <xf numFmtId="1" fontId="54" fillId="3" borderId="115" xfId="0" applyNumberFormat="1" applyFont="1" applyFill="1" applyBorder="1" applyAlignment="1" applyProtection="1">
      <alignment horizontal="center" vertical="center"/>
      <protection locked="0"/>
    </xf>
    <xf numFmtId="0" fontId="211" fillId="0" borderId="0" xfId="0" applyFont="1" applyAlignment="1">
      <alignment vertical="center"/>
    </xf>
    <xf numFmtId="0" fontId="47" fillId="0" borderId="0" xfId="0" applyFont="1" applyFill="1" applyBorder="1" applyProtection="1">
      <protection hidden="1"/>
    </xf>
    <xf numFmtId="0" fontId="50" fillId="0" borderId="0" xfId="0" applyFont="1" applyFill="1" applyBorder="1" applyAlignment="1">
      <alignment horizontal="left" vertical="center"/>
    </xf>
    <xf numFmtId="0" fontId="50" fillId="0" borderId="0" xfId="0" applyFont="1" applyFill="1" applyBorder="1" applyAlignment="1">
      <alignment horizontal="right" vertical="center"/>
    </xf>
    <xf numFmtId="1" fontId="52" fillId="0" borderId="0" xfId="0" applyNumberFormat="1" applyFont="1" applyFill="1" applyBorder="1" applyAlignment="1" applyProtection="1">
      <alignment horizontal="center" vertical="center"/>
      <protection locked="0"/>
    </xf>
    <xf numFmtId="0" fontId="67" fillId="0" borderId="0" xfId="0" applyFont="1" applyFill="1" applyBorder="1" applyAlignment="1">
      <alignment horizontal="left"/>
    </xf>
    <xf numFmtId="0" fontId="58" fillId="0" borderId="0" xfId="0" applyFont="1" applyFill="1" applyBorder="1" applyAlignment="1" applyProtection="1">
      <alignment horizontal="right"/>
      <protection locked="0"/>
    </xf>
    <xf numFmtId="2" fontId="38" fillId="0" borderId="0" xfId="0" applyNumberFormat="1" applyFont="1" applyFill="1" applyBorder="1"/>
    <xf numFmtId="0" fontId="51" fillId="0" borderId="0" xfId="0" applyFont="1" applyAlignment="1">
      <alignment horizontal="right"/>
    </xf>
    <xf numFmtId="0" fontId="200" fillId="0" borderId="0" xfId="0" applyFont="1" applyFill="1" applyBorder="1" applyAlignment="1">
      <alignment vertical="center"/>
    </xf>
    <xf numFmtId="0" fontId="57" fillId="0" borderId="0" xfId="0" applyFont="1" applyAlignment="1">
      <alignment horizontal="left"/>
    </xf>
    <xf numFmtId="0" fontId="43" fillId="6" borderId="102" xfId="0" applyFont="1" applyFill="1" applyBorder="1" applyAlignment="1" applyProtection="1">
      <alignment horizontal="left" vertical="center"/>
      <protection hidden="1"/>
    </xf>
    <xf numFmtId="0" fontId="0" fillId="6" borderId="108" xfId="0" applyFill="1" applyBorder="1"/>
    <xf numFmtId="0" fontId="52" fillId="6" borderId="108" xfId="0" applyFont="1" applyFill="1" applyBorder="1" applyAlignment="1">
      <alignment horizontal="left" vertical="center"/>
    </xf>
    <xf numFmtId="0" fontId="33" fillId="0" borderId="43" xfId="0" applyFont="1" applyBorder="1" applyAlignment="1">
      <alignment horizontal="right" vertical="center"/>
    </xf>
    <xf numFmtId="0" fontId="213" fillId="0" borderId="0" xfId="0" applyFont="1" applyAlignment="1" applyProtection="1">
      <alignment horizontal="right" vertical="center"/>
      <protection hidden="1"/>
    </xf>
    <xf numFmtId="0" fontId="214" fillId="0" borderId="0" xfId="0" applyFont="1" applyAlignment="1">
      <alignment horizontal="right" vertical="center"/>
    </xf>
    <xf numFmtId="0" fontId="40" fillId="15" borderId="0" xfId="0" applyFont="1" applyFill="1" applyAlignment="1">
      <alignment horizontal="left" vertical="center"/>
    </xf>
    <xf numFmtId="174" fontId="61" fillId="0" borderId="4" xfId="0" applyNumberFormat="1" applyFont="1" applyBorder="1" applyAlignment="1" applyProtection="1">
      <alignment vertical="center"/>
      <protection hidden="1"/>
    </xf>
    <xf numFmtId="0" fontId="81" fillId="0" borderId="0" xfId="0" applyFont="1" applyAlignment="1" applyProtection="1">
      <alignment horizontal="center" vertical="center" wrapText="1"/>
      <protection hidden="1"/>
    </xf>
    <xf numFmtId="0" fontId="44" fillId="15" borderId="0" xfId="0" applyFont="1" applyFill="1" applyAlignment="1">
      <alignment horizontal="right" vertical="center"/>
    </xf>
    <xf numFmtId="0" fontId="81" fillId="15" borderId="0" xfId="0" applyFont="1" applyFill="1" applyAlignment="1">
      <alignment horizontal="right" vertical="center"/>
    </xf>
    <xf numFmtId="0" fontId="39" fillId="15" borderId="0" xfId="0" applyFont="1" applyFill="1" applyAlignment="1">
      <alignment horizontal="right" vertical="center"/>
    </xf>
    <xf numFmtId="0" fontId="81" fillId="5" borderId="17" xfId="0" applyFont="1" applyFill="1" applyBorder="1" applyAlignment="1">
      <alignment horizontal="right" vertical="center"/>
    </xf>
    <xf numFmtId="186" fontId="119" fillId="4" borderId="17" xfId="0" applyNumberFormat="1" applyFont="1" applyFill="1" applyBorder="1" applyAlignment="1">
      <alignment horizontal="center" vertical="center"/>
    </xf>
    <xf numFmtId="0" fontId="81" fillId="4" borderId="17" xfId="0" applyFont="1" applyFill="1" applyBorder="1" applyAlignment="1">
      <alignment horizontal="right" vertical="center"/>
    </xf>
    <xf numFmtId="0" fontId="132" fillId="4" borderId="17" xfId="0" applyFont="1" applyFill="1" applyBorder="1" applyAlignment="1">
      <alignment horizontal="right" vertical="center"/>
    </xf>
    <xf numFmtId="3" fontId="54" fillId="3" borderId="17" xfId="0" applyNumberFormat="1" applyFont="1" applyFill="1" applyBorder="1" applyAlignment="1">
      <alignment horizontal="left" vertical="center" indent="1"/>
    </xf>
    <xf numFmtId="0" fontId="132" fillId="5" borderId="17" xfId="0" applyFont="1" applyFill="1" applyBorder="1" applyAlignment="1">
      <alignment horizontal="right" vertical="center"/>
    </xf>
    <xf numFmtId="0" fontId="34" fillId="0" borderId="17" xfId="0" applyFont="1" applyFill="1" applyBorder="1" applyAlignment="1">
      <alignment horizontal="right" vertical="center"/>
    </xf>
    <xf numFmtId="0" fontId="149" fillId="4" borderId="17" xfId="0" applyFont="1" applyFill="1" applyBorder="1" applyAlignment="1">
      <alignment horizontal="right" wrapText="1"/>
    </xf>
    <xf numFmtId="2" fontId="34" fillId="0" borderId="17" xfId="0" applyNumberFormat="1" applyFont="1" applyFill="1" applyBorder="1" applyAlignment="1">
      <alignment horizontal="left" vertical="center" wrapText="1" indent="1"/>
    </xf>
    <xf numFmtId="3" fontId="85" fillId="27" borderId="17" xfId="0" applyNumberFormat="1" applyFont="1" applyFill="1" applyBorder="1" applyAlignment="1">
      <alignment horizontal="left" vertical="center" indent="1"/>
    </xf>
    <xf numFmtId="3" fontId="100" fillId="31" borderId="17" xfId="0" applyNumberFormat="1" applyFont="1" applyFill="1" applyBorder="1" applyAlignment="1">
      <alignment horizontal="left" vertical="center" indent="1"/>
    </xf>
    <xf numFmtId="14" fontId="107" fillId="0" borderId="17" xfId="0" applyNumberFormat="1" applyFont="1" applyFill="1" applyBorder="1" applyAlignment="1">
      <alignment horizontal="center" vertical="center"/>
    </xf>
    <xf numFmtId="0" fontId="31" fillId="0" borderId="0" xfId="0" applyFont="1" applyBorder="1"/>
    <xf numFmtId="0" fontId="101" fillId="2" borderId="0" xfId="0" applyFont="1" applyFill="1" applyBorder="1" applyAlignment="1">
      <alignment horizontal="left"/>
    </xf>
    <xf numFmtId="177" fontId="59" fillId="4" borderId="46" xfId="0" applyNumberFormat="1" applyFont="1" applyFill="1" applyBorder="1" applyAlignment="1">
      <alignment vertical="center"/>
    </xf>
    <xf numFmtId="0" fontId="84" fillId="0" borderId="0" xfId="0" applyFont="1" applyAlignment="1">
      <alignment horizontal="left"/>
    </xf>
    <xf numFmtId="0" fontId="215" fillId="0" borderId="0" xfId="0" applyFont="1" applyAlignment="1">
      <alignment horizontal="center" vertical="center" wrapText="1"/>
    </xf>
    <xf numFmtId="0" fontId="71" fillId="3" borderId="0" xfId="0" applyFont="1" applyFill="1" applyAlignment="1"/>
    <xf numFmtId="0" fontId="76" fillId="6" borderId="0" xfId="0" applyFont="1" applyFill="1" applyAlignment="1">
      <alignment horizontal="center"/>
    </xf>
    <xf numFmtId="0" fontId="34" fillId="0" borderId="0" xfId="0" applyFont="1" applyAlignment="1">
      <alignment horizontal="center" vertical="center"/>
    </xf>
    <xf numFmtId="0" fontId="114" fillId="14" borderId="116" xfId="0" applyFont="1" applyFill="1" applyBorder="1" applyAlignment="1">
      <alignment horizontal="right" vertical="center"/>
    </xf>
    <xf numFmtId="0" fontId="50" fillId="18" borderId="7" xfId="0" applyFont="1" applyFill="1" applyBorder="1" applyAlignment="1" applyProtection="1">
      <alignment horizontal="right" vertical="center"/>
      <protection locked="0"/>
    </xf>
    <xf numFmtId="0" fontId="37" fillId="12" borderId="0" xfId="0" applyFont="1" applyFill="1" applyAlignment="1">
      <alignment horizontal="center"/>
    </xf>
    <xf numFmtId="0" fontId="40" fillId="14" borderId="0" xfId="0" applyFont="1" applyFill="1" applyAlignment="1">
      <alignment horizontal="right" vertical="center"/>
    </xf>
    <xf numFmtId="0" fontId="190" fillId="0" borderId="0" xfId="0" applyFont="1" applyAlignment="1">
      <alignment horizontal="center" vertical="center" wrapText="1"/>
    </xf>
    <xf numFmtId="0" fontId="190" fillId="0" borderId="8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24" fillId="0" borderId="0" xfId="0" applyFont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138" fillId="0" borderId="0" xfId="0" applyFont="1" applyAlignment="1" applyProtection="1">
      <alignment horizontal="center" vertical="center"/>
      <protection locked="0"/>
    </xf>
    <xf numFmtId="0" fontId="44" fillId="23" borderId="0" xfId="0" applyFont="1" applyFill="1" applyAlignment="1" applyProtection="1">
      <alignment horizontal="right" vertical="center"/>
      <protection locked="0"/>
    </xf>
    <xf numFmtId="49" fontId="146" fillId="2" borderId="0" xfId="0" applyNumberFormat="1" applyFont="1" applyFill="1" applyAlignment="1" applyProtection="1">
      <alignment horizontal="center" vertical="center" wrapText="1"/>
      <protection locked="0"/>
    </xf>
    <xf numFmtId="49" fontId="146" fillId="2" borderId="42" xfId="0" applyNumberFormat="1" applyFont="1" applyFill="1" applyBorder="1" applyAlignment="1" applyProtection="1">
      <alignment horizontal="center" vertical="center" wrapText="1"/>
      <protection locked="0"/>
    </xf>
    <xf numFmtId="0" fontId="130" fillId="23" borderId="0" xfId="0" applyFont="1" applyFill="1" applyAlignment="1" applyProtection="1">
      <alignment horizontal="center" vertical="center"/>
      <protection locked="0"/>
    </xf>
    <xf numFmtId="0" fontId="31" fillId="0" borderId="0" xfId="0" applyFont="1" applyAlignment="1">
      <alignment horizontal="center" vertical="center"/>
    </xf>
    <xf numFmtId="0" fontId="34" fillId="0" borderId="0" xfId="0" applyFont="1" applyAlignment="1">
      <alignment horizontal="right"/>
    </xf>
    <xf numFmtId="0" fontId="33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17" fillId="0" borderId="0" xfId="0" applyFont="1" applyAlignment="1">
      <alignment horizontal="center"/>
    </xf>
    <xf numFmtId="0" fontId="171" fillId="0" borderId="0" xfId="0" applyFont="1" applyAlignment="1">
      <alignment horizontal="right"/>
    </xf>
    <xf numFmtId="0" fontId="40" fillId="15" borderId="0" xfId="0" applyFont="1" applyFill="1" applyAlignment="1">
      <alignment horizontal="center"/>
    </xf>
    <xf numFmtId="0" fontId="194" fillId="27" borderId="0" xfId="0" applyFont="1" applyFill="1" applyAlignment="1">
      <alignment horizontal="right" vertical="center"/>
    </xf>
    <xf numFmtId="0" fontId="179" fillId="3" borderId="0" xfId="0" applyFont="1" applyFill="1" applyAlignment="1">
      <alignment horizontal="center" vertical="center"/>
    </xf>
    <xf numFmtId="0" fontId="39" fillId="14" borderId="0" xfId="0" applyFont="1" applyFill="1" applyAlignment="1">
      <alignment horizontal="right" vertical="center"/>
    </xf>
    <xf numFmtId="0" fontId="39" fillId="14" borderId="85" xfId="0" applyFont="1" applyFill="1" applyBorder="1" applyAlignment="1">
      <alignment horizontal="right" vertical="center"/>
    </xf>
    <xf numFmtId="0" fontId="79" fillId="3" borderId="0" xfId="0" applyFont="1" applyFill="1" applyAlignment="1">
      <alignment horizontal="center"/>
    </xf>
    <xf numFmtId="0" fontId="71" fillId="0" borderId="0" xfId="0" applyFont="1" applyAlignment="1">
      <alignment horizontal="center"/>
    </xf>
    <xf numFmtId="0" fontId="74" fillId="0" borderId="0" xfId="0" applyFont="1" applyAlignment="1">
      <alignment horizontal="center"/>
    </xf>
    <xf numFmtId="0" fontId="71" fillId="3" borderId="0" xfId="0" applyFont="1" applyFill="1" applyAlignment="1">
      <alignment horizontal="center"/>
    </xf>
    <xf numFmtId="0" fontId="10" fillId="6" borderId="129" xfId="0" applyFont="1" applyFill="1" applyBorder="1" applyAlignment="1">
      <alignment horizontal="right" vertical="center" wrapText="1" indent="1"/>
    </xf>
    <xf numFmtId="0" fontId="10" fillId="6" borderId="130" xfId="0" applyFont="1" applyFill="1" applyBorder="1" applyAlignment="1">
      <alignment horizontal="right" vertical="center" wrapText="1" indent="1"/>
    </xf>
    <xf numFmtId="0" fontId="10" fillId="0" borderId="129" xfId="0" applyFont="1" applyFill="1" applyBorder="1" applyAlignment="1">
      <alignment horizontal="left" vertical="top" wrapText="1"/>
    </xf>
    <xf numFmtId="0" fontId="10" fillId="0" borderId="53" xfId="0" applyFont="1" applyFill="1" applyBorder="1" applyAlignment="1">
      <alignment horizontal="left" vertical="top" wrapText="1"/>
    </xf>
    <xf numFmtId="0" fontId="10" fillId="0" borderId="130" xfId="0" applyFont="1" applyFill="1" applyBorder="1" applyAlignment="1">
      <alignment horizontal="left" vertical="top" wrapText="1"/>
    </xf>
    <xf numFmtId="0" fontId="10" fillId="0" borderId="129" xfId="0" applyFont="1" applyBorder="1" applyAlignment="1">
      <alignment horizontal="left" vertical="top"/>
    </xf>
    <xf numFmtId="0" fontId="10" fillId="0" borderId="53" xfId="0" applyFont="1" applyBorder="1" applyAlignment="1">
      <alignment horizontal="left" vertical="top"/>
    </xf>
    <xf numFmtId="0" fontId="10" fillId="0" borderId="130" xfId="0" applyFont="1" applyBorder="1" applyAlignment="1">
      <alignment horizontal="left" vertical="top"/>
    </xf>
    <xf numFmtId="0" fontId="10" fillId="0" borderId="129" xfId="0" applyFont="1" applyBorder="1" applyAlignment="1">
      <alignment horizontal="left" vertical="top" wrapText="1"/>
    </xf>
    <xf numFmtId="0" fontId="10" fillId="0" borderId="53" xfId="0" applyFont="1" applyBorder="1" applyAlignment="1">
      <alignment horizontal="left" vertical="top" wrapText="1"/>
    </xf>
    <xf numFmtId="0" fontId="10" fillId="0" borderId="130" xfId="0" applyFont="1" applyBorder="1" applyAlignment="1">
      <alignment horizontal="left" vertical="top" wrapText="1"/>
    </xf>
    <xf numFmtId="0" fontId="10" fillId="4" borderId="129" xfId="0" applyFont="1" applyFill="1" applyBorder="1" applyAlignment="1">
      <alignment horizontal="center" vertical="center" wrapText="1"/>
    </xf>
    <xf numFmtId="0" fontId="10" fillId="4" borderId="130" xfId="0" applyFont="1" applyFill="1" applyBorder="1" applyAlignment="1">
      <alignment horizontal="center" vertical="center" wrapText="1"/>
    </xf>
    <xf numFmtId="0" fontId="100" fillId="12" borderId="0" xfId="0" applyFont="1" applyFill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18" fillId="0" borderId="0" xfId="0" applyFont="1" applyFill="1" applyAlignment="1">
      <alignment horizontal="center" vertical="center"/>
    </xf>
    <xf numFmtId="0" fontId="18" fillId="0" borderId="132" xfId="0" applyFont="1" applyFill="1" applyBorder="1" applyAlignment="1">
      <alignment horizontal="center" vertical="center"/>
    </xf>
    <xf numFmtId="0" fontId="18" fillId="0" borderId="133" xfId="0" applyFont="1" applyFill="1" applyBorder="1" applyAlignment="1">
      <alignment horizontal="center" vertical="center"/>
    </xf>
  </cellXfs>
  <cellStyles count="6">
    <cellStyle name="Comma 2" xfId="4" xr:uid="{00000000-0005-0000-0000-000001000000}"/>
    <cellStyle name="Currency 2" xfId="5" xr:uid="{00000000-0005-0000-0000-000003000000}"/>
    <cellStyle name="Валута" xfId="3" builtinId="4"/>
    <cellStyle name="Запетая" xfId="1" builtinId="3"/>
    <cellStyle name="Нормален" xfId="0" builtinId="0"/>
    <cellStyle name="Хипервръзка" xfId="2" builtinId="8"/>
  </cellStyles>
  <dxfs count="54"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b/>
        <i val="0"/>
        <u/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  <border>
        <vertical/>
        <horizontal/>
      </border>
    </dxf>
    <dxf>
      <font>
        <color theme="1" tint="4.9989318521683403E-2"/>
      </font>
    </dxf>
    <dxf>
      <font>
        <color theme="1" tint="4.9989318521683403E-2"/>
      </font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 patternType="gray0625">
          <fgColor rgb="FFFF0000"/>
          <bgColor theme="9" tint="-0.2499465926084170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numFmt numFmtId="171" formatCode="_-* #,##0.00\ [$€-1]_-;\-* #,##0.00\ [$€-1]_-;_-* &quot;-&quot;??\ [$€-1]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  <border diagonalUp="0" diagonalDown="0"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  <vertical/>
        <horizontal style="thin">
          <color theme="9" tint="0.59996337778862885"/>
        </horizontal>
      </border>
    </dxf>
    <dxf>
      <font>
        <strike val="0"/>
        <outline val="0"/>
        <shadow val="0"/>
        <u val="none"/>
        <vertAlign val="baseline"/>
        <sz val="10"/>
        <color theme="9" tint="-0.249977111117893"/>
        <name val="Arial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30" formatCode="@"/>
      <fill>
        <patternFill patternType="solid">
          <fgColor indexed="64"/>
          <bgColor theme="9" tint="-0.24997711111789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top style="thin">
          <color theme="9" tint="0.39997558519241921"/>
        </top>
      </border>
    </dxf>
    <dxf>
      <border outline="0"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0"/>
        <name val="Arial"/>
        <family val="2"/>
        <charset val="204"/>
        <scheme val="none"/>
      </font>
      <fill>
        <patternFill patternType="solid">
          <fgColor indexed="64"/>
          <bgColor theme="9" tint="-0.249977111117893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9" tint="-0.499984740745262"/>
        <name val="Arial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charset val="204"/>
        <scheme val="none"/>
      </font>
      <numFmt numFmtId="181" formatCode="_-[$€-2]\ * #,##0.0000_-;\-[$€-2]\ * #,##0.0000_-;_-[$€-2]\ * &quot;-&quot;????_-;_-@_-"/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theme="1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charset val="20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Arial"/>
        <family val="2"/>
        <charset val="204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C2E3BF"/>
      <color rgb="FFFDFFE5"/>
      <color rgb="FFD01C6D"/>
      <color rgb="FFDFFF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1143000</xdr:colOff>
      <xdr:row>20</xdr:row>
      <xdr:rowOff>209550</xdr:rowOff>
    </xdr:from>
    <xdr:to>
      <xdr:col>1</xdr:col>
      <xdr:colOff>495300</xdr:colOff>
      <xdr:row>21</xdr:row>
      <xdr:rowOff>219075</xdr:rowOff>
    </xdr:to>
    <xdr:sp macro="[0]!Изчисти_черно" textlink="">
      <xdr:nvSpPr>
        <xdr:cNvPr id="2" name="Правоъгълник: със заоблени ъгли 1">
          <a:extLst>
            <a:ext uri="{FF2B5EF4-FFF2-40B4-BE49-F238E27FC236}">
              <a16:creationId xmlns:a16="http://schemas.microsoft.com/office/drawing/2014/main" id="{CDBCE7E4-3127-E908-233F-5254DDF57D1B}"/>
            </a:ext>
          </a:extLst>
        </xdr:cNvPr>
        <xdr:cNvSpPr/>
      </xdr:nvSpPr>
      <xdr:spPr>
        <a:xfrm>
          <a:off x="1143000" y="4048125"/>
          <a:ext cx="914400" cy="2286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bg-BG" sz="1100">
              <a:latin typeface="Bahnschrift" panose="020B0502040204020203" pitchFamily="34" charset="0"/>
            </a:rPr>
            <a:t>Изчисти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838200</xdr:colOff>
      <xdr:row>22</xdr:row>
      <xdr:rowOff>95250</xdr:rowOff>
    </xdr:from>
    <xdr:to>
      <xdr:col>2</xdr:col>
      <xdr:colOff>323850</xdr:colOff>
      <xdr:row>23</xdr:row>
      <xdr:rowOff>171450</xdr:rowOff>
    </xdr:to>
    <xdr:sp macro="[0]!Изчисти_Химия" textlink="">
      <xdr:nvSpPr>
        <xdr:cNvPr id="4" name="Правоъгълник: със заоблени ъгли 3">
          <a:extLst>
            <a:ext uri="{FF2B5EF4-FFF2-40B4-BE49-F238E27FC236}">
              <a16:creationId xmlns:a16="http://schemas.microsoft.com/office/drawing/2014/main" id="{6A2FBD80-7194-F501-8179-F1215CF83E95}"/>
            </a:ext>
          </a:extLst>
        </xdr:cNvPr>
        <xdr:cNvSpPr/>
      </xdr:nvSpPr>
      <xdr:spPr>
        <a:xfrm>
          <a:off x="1276350" y="4124325"/>
          <a:ext cx="904875" cy="25717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>
              <a:latin typeface="GOST type B" panose="02010404020404060303" pitchFamily="2" charset="0"/>
            </a:rPr>
            <a:t>изчисти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1333500</xdr:colOff>
      <xdr:row>26</xdr:row>
      <xdr:rowOff>142875</xdr:rowOff>
    </xdr:from>
    <xdr:to>
      <xdr:col>3</xdr:col>
      <xdr:colOff>28575</xdr:colOff>
      <xdr:row>28</xdr:row>
      <xdr:rowOff>19050</xdr:rowOff>
    </xdr:to>
    <xdr:sp macro="[0]!Изчисти_Книжки" textlink="">
      <xdr:nvSpPr>
        <xdr:cNvPr id="2" name="Правоъгълник: със заоблени ъгли 1">
          <a:extLst>
            <a:ext uri="{FF2B5EF4-FFF2-40B4-BE49-F238E27FC236}">
              <a16:creationId xmlns:a16="http://schemas.microsoft.com/office/drawing/2014/main" id="{7EF9E940-CF9C-A0EA-F3CA-CC1EE14B2342}"/>
            </a:ext>
          </a:extLst>
        </xdr:cNvPr>
        <xdr:cNvSpPr/>
      </xdr:nvSpPr>
      <xdr:spPr>
        <a:xfrm>
          <a:off x="1666875" y="4714875"/>
          <a:ext cx="723900" cy="238125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>
              <a:latin typeface="Arial Narrow" panose="020B0606020202030204" pitchFamily="34" charset="0"/>
            </a:rPr>
            <a:t>изчисти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419099</xdr:colOff>
      <xdr:row>20</xdr:row>
      <xdr:rowOff>19050</xdr:rowOff>
    </xdr:from>
    <xdr:to>
      <xdr:col>1</xdr:col>
      <xdr:colOff>1285874</xdr:colOff>
      <xdr:row>22</xdr:row>
      <xdr:rowOff>19050</xdr:rowOff>
    </xdr:to>
    <xdr:sp macro="[0]!Изчисти_Календари" textlink="">
      <xdr:nvSpPr>
        <xdr:cNvPr id="4" name="Правоъгълник: със заоблени ъгли 3">
          <a:extLst>
            <a:ext uri="{FF2B5EF4-FFF2-40B4-BE49-F238E27FC236}">
              <a16:creationId xmlns:a16="http://schemas.microsoft.com/office/drawing/2014/main" id="{A7F94D04-CD95-247B-8012-F8E983F9F37C}"/>
            </a:ext>
          </a:extLst>
        </xdr:cNvPr>
        <xdr:cNvSpPr/>
      </xdr:nvSpPr>
      <xdr:spPr>
        <a:xfrm>
          <a:off x="752474" y="3286125"/>
          <a:ext cx="866775" cy="3429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>
              <a:latin typeface="GOST type B" panose="02010404020404060303" pitchFamily="2" charset="0"/>
            </a:rPr>
            <a:t>Изчисти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11</xdr:row>
      <xdr:rowOff>9525</xdr:rowOff>
    </xdr:from>
    <xdr:to>
      <xdr:col>5</xdr:col>
      <xdr:colOff>304800</xdr:colOff>
      <xdr:row>12</xdr:row>
      <xdr:rowOff>123825</xdr:rowOff>
    </xdr:to>
    <xdr:sp macro="[0]!Изчисти_спирала" textlink="">
      <xdr:nvSpPr>
        <xdr:cNvPr id="2" name="Правоъгълник: със заоблени ъгли 1">
          <a:extLst>
            <a:ext uri="{FF2B5EF4-FFF2-40B4-BE49-F238E27FC236}">
              <a16:creationId xmlns:a16="http://schemas.microsoft.com/office/drawing/2014/main" id="{4DC7871F-857A-00FD-5A64-5C4ECDD12A48}"/>
            </a:ext>
          </a:extLst>
        </xdr:cNvPr>
        <xdr:cNvSpPr/>
      </xdr:nvSpPr>
      <xdr:spPr>
        <a:xfrm>
          <a:off x="2657475" y="2143125"/>
          <a:ext cx="847725" cy="2952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>
              <a:latin typeface="GOST type B" panose="02010404020404060303" pitchFamily="2" charset="0"/>
            </a:rPr>
            <a:t>Изчисти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spirala" displayName="spirala" ref="P4:S11" totalsRowShown="0" headerRowDxfId="53" dataDxfId="52">
  <autoFilter ref="P4:S11" xr:uid="{00000000-0009-0000-0100-000005000000}"/>
  <sortState xmlns:xlrd2="http://schemas.microsoft.com/office/spreadsheetml/2017/richdata2" ref="P5:R11">
    <sortCondition ref="P4:P11"/>
  </sortState>
  <tableColumns count="4">
    <tableColumn id="1" xr3:uid="{00000000-0010-0000-0000-000001000000}" name="Размер inch" dataDxfId="51"/>
    <tableColumn id="2" xr3:uid="{00000000-0010-0000-0000-000002000000}" name="Размер mm" dataDxfId="50"/>
    <tableColumn id="4" xr3:uid="{78B48358-CCFD-499D-B9DA-5DAB09943DD9}" name="цена за зъб" dataDxfId="49"/>
    <tableColumn id="3" xr3:uid="{AEA5EA81-6090-4FBF-B347-7D71DE7757E1}" name="увеличение" dataDxfId="48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таб_Цял_Лист" displayName="таб_Цял_Лист" ref="A1:C46" totalsRowShown="0" headerRowDxfId="47" dataDxfId="46">
  <autoFilter ref="A1:C46" xr:uid="{00000000-0009-0000-0100-000006000000}"/>
  <tableColumns count="3">
    <tableColumn id="1" xr3:uid="{00000000-0010-0000-0100-000001000000}" name="формат/цял лист" dataDxfId="45"/>
    <tableColumn id="2" xr3:uid="{00000000-0010-0000-0100-000002000000}" name="формати/печат" dataDxfId="44"/>
    <tableColumn id="3" xr3:uid="{00000000-0010-0000-0100-000003000000}" name="тираж. Листа от лист" dataDxfId="43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Таблица2" displayName="Таблица2" ref="A1:G11" totalsRowShown="0" headerRowDxfId="42" dataDxfId="41">
  <autoFilter ref="A1:G11" xr:uid="{00000000-0009-0000-0100-000002000000}"/>
  <sortState xmlns:xlrd2="http://schemas.microsoft.com/office/spreadsheetml/2017/richdata2" ref="A2:H11">
    <sortCondition ref="A1:A11"/>
  </sortState>
  <tableColumns count="7">
    <tableColumn id="5" xr3:uid="{00000000-0010-0000-0300-000005000000}" name="лепене" dataDxfId="40"/>
    <tableColumn id="6" xr3:uid="{00000000-0010-0000-0300-000006000000}" name="леп/цена €" dataDxfId="39"/>
    <tableColumn id="11" xr3:uid="{00000000-0010-0000-0300-00000B000000}" name="обръщане" dataDxfId="38"/>
    <tableColumn id="9" xr3:uid="{00000000-0010-0000-0300-000009000000}" name="набор/ химизирана €" dataDxfId="37"/>
    <tableColumn id="12" xr3:uid="{00000000-0010-0000-0300-00000C000000}" name="номерация €" dataDxfId="36"/>
    <tableColumn id="2" xr3:uid="{5456B5E0-9E26-4D22-814C-57CA8ED6B3AA}" name="печат" dataDxfId="35"/>
    <tableColumn id="3" xr3:uid="{C2842A0E-BF5C-4745-B59A-498674E417D3}" name="печат /цена" dataDxfId="3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Таблица1" displayName="Таблица1" ref="I1:L13" totalsRowShown="0" headerRowDxfId="33" dataDxfId="31" headerRowBorderDxfId="32" tableBorderDxfId="30" totalsRowBorderDxfId="29">
  <autoFilter ref="I1:L13" xr:uid="{00000000-000C-0000-FFFF-FFFF04000000}"/>
  <sortState xmlns:xlrd2="http://schemas.microsoft.com/office/spreadsheetml/2017/richdata2" ref="I2:K12">
    <sortCondition ref="I1:I12"/>
  </sortState>
  <tableColumns count="4">
    <tableColumn id="1" xr3:uid="{00000000-0010-0000-0400-000001000000}" name="УВ лак/ламиниране" dataDxfId="28"/>
    <tableColumn id="2" xr3:uid="{00000000-0010-0000-0400-000002000000}" name="УВ цена €" dataDxfId="27"/>
    <tableColumn id="3" xr3:uid="{00000000-0010-0000-0400-000003000000}" name="ламин/цена €" dataDxfId="26"/>
    <tableColumn id="4" xr3:uid="{9393D958-C5CF-4B29-9F61-B0423C5020C8}" name="подготовка €" dataDxfId="25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montaj" displayName="montaj" ref="A5:B14" totalsRowShown="0" headerRowDxfId="24" dataDxfId="23">
  <autoFilter ref="A5:B14" xr:uid="{00000000-0009-0000-0100-000003000000}"/>
  <sortState xmlns:xlrd2="http://schemas.microsoft.com/office/spreadsheetml/2017/richdata2" ref="A6:B14">
    <sortCondition ref="A5:A14"/>
  </sortState>
  <tableColumns count="2">
    <tableColumn id="1" xr3:uid="{00000000-0010-0000-0500-000001000000}" name="изделие" dataDxfId="22"/>
    <tableColumn id="2" xr3:uid="{00000000-0010-0000-0500-000002000000}" name="цена" dataDxfId="2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CDAFDA-07CD-4E48-9F87-3FE76B779079}">
  <we:reference id="wa104381227" version="1.0.0.1" store="bg-BG" storeType="OMEX"/>
  <we:alternateReferences>
    <we:reference id="wa104381227" version="1.0.0.1" store="WA10438122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tabColor theme="1"/>
  </sheetPr>
  <dimension ref="A1:Z91"/>
  <sheetViews>
    <sheetView showGridLines="0" workbookViewId="0">
      <selection activeCell="J33" sqref="J33"/>
    </sheetView>
  </sheetViews>
  <sheetFormatPr defaultColWidth="9.140625" defaultRowHeight="15"/>
  <cols>
    <col min="1" max="1" width="23.42578125" customWidth="1"/>
    <col min="2" max="2" width="8.140625" customWidth="1"/>
    <col min="3" max="3" width="7.140625" customWidth="1"/>
    <col min="4" max="4" width="3.42578125" customWidth="1"/>
    <col min="5" max="5" width="3.85546875" customWidth="1"/>
    <col min="6" max="6" width="10.28515625" customWidth="1"/>
    <col min="7" max="7" width="14" customWidth="1"/>
    <col min="8" max="8" width="8.7109375" customWidth="1"/>
    <col min="9" max="9" width="8.5703125" customWidth="1"/>
    <col min="10" max="10" width="9.5703125" customWidth="1"/>
    <col min="11" max="11" width="8.28515625" customWidth="1"/>
    <col min="12" max="12" width="7.140625" customWidth="1"/>
    <col min="13" max="13" width="6.5703125" customWidth="1"/>
    <col min="14" max="14" width="11.85546875" customWidth="1"/>
    <col min="15" max="15" width="11.5703125" customWidth="1"/>
    <col min="16" max="16" width="9.28515625" customWidth="1"/>
    <col min="17" max="17" width="9.140625" customWidth="1"/>
    <col min="18" max="18" width="4" customWidth="1"/>
    <col min="19" max="19" width="15.85546875" customWidth="1"/>
    <col min="20" max="20" width="14.85546875" customWidth="1"/>
    <col min="21" max="23" width="9.140625" customWidth="1"/>
  </cols>
  <sheetData>
    <row r="1" spans="1:26">
      <c r="A1" s="851" t="s">
        <v>321</v>
      </c>
      <c r="B1" s="851"/>
      <c r="C1" s="851"/>
      <c r="E1" s="851" t="s">
        <v>86</v>
      </c>
      <c r="F1" s="851"/>
      <c r="G1" s="851"/>
      <c r="H1" s="851"/>
      <c r="I1" s="851"/>
      <c r="P1" s="1"/>
    </row>
    <row r="2" spans="1:26">
      <c r="A2" s="758"/>
      <c r="B2" s="758"/>
      <c r="C2" s="758"/>
      <c r="D2" s="758"/>
      <c r="E2" s="855"/>
      <c r="F2" s="855"/>
      <c r="G2" s="758"/>
      <c r="H2" s="759" t="s">
        <v>15</v>
      </c>
      <c r="I2" s="760" t="s">
        <v>27</v>
      </c>
      <c r="J2" s="758"/>
      <c r="K2" s="758"/>
      <c r="L2" s="758"/>
      <c r="M2" s="758"/>
      <c r="N2" s="758"/>
      <c r="O2" s="758"/>
      <c r="P2" s="758"/>
      <c r="Q2" t="s">
        <v>49</v>
      </c>
      <c r="R2" s="3"/>
    </row>
    <row r="3" spans="1:26">
      <c r="A3" s="372" t="s">
        <v>0</v>
      </c>
      <c r="B3" s="86" t="s">
        <v>221</v>
      </c>
      <c r="C3" s="758"/>
      <c r="D3" s="758"/>
      <c r="E3" s="761"/>
      <c r="F3" s="217" t="s">
        <v>84</v>
      </c>
      <c r="G3" s="25">
        <f>IFERROR(IF(I3="със",B15*H3*1.2,IF(I3="без",ROUNDUP(B15*H3,0.5),"")),"")</f>
        <v>0</v>
      </c>
      <c r="H3" s="27"/>
      <c r="I3" s="88" t="s">
        <v>39</v>
      </c>
      <c r="J3" s="758"/>
      <c r="L3" s="807"/>
      <c r="M3" s="762"/>
      <c r="N3" s="808"/>
      <c r="O3" s="763"/>
      <c r="P3" s="764"/>
    </row>
    <row r="4" spans="1:26">
      <c r="A4" s="370" t="s">
        <v>2</v>
      </c>
      <c r="B4" s="373" t="s">
        <v>213</v>
      </c>
      <c r="C4" s="789" t="s">
        <v>248</v>
      </c>
      <c r="D4" s="758"/>
      <c r="E4" s="856" t="s">
        <v>19</v>
      </c>
      <c r="F4" s="856"/>
      <c r="G4" s="26">
        <f>IF(B9="","",IF(B9="черно",(B6+B7)*H4,IF(B9="не",(B6+B7)*H4,IF(B9&lt;&gt;"черно",H4*B6,""))))</f>
        <v>24</v>
      </c>
      <c r="H4" s="28">
        <f>IF(B9="черно",довърш.!G2,IF(B9="черно с обр.",довърш.!G3,IF(B9&lt;&gt;"черно",довърш.!G4)))</f>
        <v>8</v>
      </c>
      <c r="I4" s="36"/>
      <c r="J4" s="29"/>
      <c r="K4" s="809"/>
      <c r="L4" s="810"/>
      <c r="M4" s="810"/>
      <c r="N4" s="811"/>
      <c r="O4" s="758"/>
      <c r="P4" s="762"/>
      <c r="Z4" s="192"/>
    </row>
    <row r="5" spans="1:26" ht="15.75">
      <c r="A5" s="372" t="s">
        <v>308</v>
      </c>
      <c r="B5" s="785">
        <v>215</v>
      </c>
      <c r="C5" s="786">
        <v>35</v>
      </c>
      <c r="D5" s="765"/>
      <c r="E5" s="852" t="s">
        <v>25</v>
      </c>
      <c r="F5" s="852"/>
      <c r="G5" s="25" t="str" cm="1">
        <f t="array" ref="G5">_xlfn.LET( _xlpm.база, 2.7 * B7,  _xlpm.тираж_100, FLOOR(B12, 100),  _xlpm.коеф_хиляди, _xlpm.тираж_100 /1000, _xlfn.SWITCH(H5, "да", _xlpm.база * MAX(1, ROUNDUP(_xlpm.коеф_хиляди, 0)), "черно с обр.",MROUND(_xlpm.база * MAX(1, _xlpm.коеф_хиляди), 5), ""  ))</f>
        <v/>
      </c>
      <c r="H5" s="500" t="str">
        <f>B9</f>
        <v>не</v>
      </c>
      <c r="I5" s="355"/>
      <c r="J5" s="355"/>
      <c r="K5" s="816" t="s">
        <v>313</v>
      </c>
      <c r="L5" s="815"/>
      <c r="M5" s="815"/>
      <c r="N5" s="812"/>
      <c r="O5" s="758"/>
      <c r="P5" s="762"/>
      <c r="Z5" s="192"/>
    </row>
    <row r="6" spans="1:26">
      <c r="A6" s="371" t="s">
        <v>24</v>
      </c>
      <c r="B6" s="30">
        <v>3</v>
      </c>
      <c r="D6" s="758"/>
      <c r="E6" s="527"/>
      <c r="F6" s="528" t="s">
        <v>26</v>
      </c>
      <c r="G6" s="766" cm="1">
        <f t="array" ref="G6">IFERROR(_xlfn.SWITCH(B9, "черно", (B6+B7),  "не", (B6+B7), "черно с обр.", B6,  "да", B6, 0) * 2.7 * _xlfn.FLOOR.PRECISE(B12/1001, 1), "")</f>
        <v>8.1000000000000014</v>
      </c>
      <c r="H6" s="490">
        <f>IFERROR(_xlfn.FLOOR.PRECISE(B12/1001,1),"")</f>
        <v>1</v>
      </c>
      <c r="I6" s="758"/>
      <c r="J6" s="767"/>
      <c r="K6" s="817" t="str" cm="1">
        <f t="array" ref="K6">FindBestSheet(B5, C5, B9, B10)</f>
        <v>МИН: 23x17.5 (4 бр., фира: 25,2%) | МАКС (Оптим.): 50x23 (14 бр., фира: 8,4%)</v>
      </c>
      <c r="L6" s="818"/>
      <c r="M6" s="819"/>
      <c r="N6" s="798"/>
      <c r="O6" s="769"/>
      <c r="P6" s="762"/>
      <c r="Z6" s="193"/>
    </row>
    <row r="7" spans="1:26">
      <c r="A7" s="849" t="s">
        <v>23</v>
      </c>
      <c r="B7" s="230">
        <v>0</v>
      </c>
      <c r="D7" s="758"/>
      <c r="E7" s="758"/>
      <c r="F7" s="531" t="s">
        <v>257</v>
      </c>
      <c r="G7" s="25" t="str">
        <f>IF(H7="да",2.7*I7+H6*I7*7,"")</f>
        <v/>
      </c>
      <c r="H7" s="529" t="s">
        <v>258</v>
      </c>
      <c r="I7" s="526" t="s">
        <v>258</v>
      </c>
      <c r="J7" s="642" t="s">
        <v>16</v>
      </c>
      <c r="K7" s="767"/>
      <c r="L7" s="767"/>
      <c r="M7" s="768"/>
      <c r="N7" s="768"/>
      <c r="O7" s="705"/>
      <c r="P7" s="762"/>
      <c r="U7" s="758"/>
      <c r="Z7" s="36"/>
    </row>
    <row r="8" spans="1:26">
      <c r="A8" s="371" t="s">
        <v>6</v>
      </c>
      <c r="B8" s="374">
        <v>14400</v>
      </c>
      <c r="C8" s="774"/>
      <c r="D8" s="758"/>
      <c r="E8" s="218"/>
      <c r="F8" s="754" t="s">
        <v>13</v>
      </c>
      <c r="G8" s="518">
        <f>IF(H8="да",2.8*I8,"")</f>
        <v>8.3999999999999986</v>
      </c>
      <c r="H8" s="530" t="s">
        <v>33</v>
      </c>
      <c r="I8" s="635">
        <f>IFERROR(IF(B9="", "", B6 + IF(OR(B9="не", B9="пантон", B9="черно"), B7, 0)), "")</f>
        <v>3</v>
      </c>
      <c r="J8" s="643" t="s">
        <v>16</v>
      </c>
      <c r="K8" s="767"/>
      <c r="L8" s="394"/>
      <c r="M8" s="762"/>
      <c r="N8" s="762"/>
      <c r="O8" s="762"/>
      <c r="P8" s="706"/>
    </row>
    <row r="9" spans="1:26">
      <c r="A9" s="849" t="s">
        <v>25</v>
      </c>
      <c r="B9" s="784" t="s">
        <v>34</v>
      </c>
      <c r="C9" s="100"/>
      <c r="D9" s="758"/>
      <c r="E9" s="278"/>
      <c r="F9" s="231" t="s">
        <v>17</v>
      </c>
      <c r="G9" s="523" t="str" cm="1">
        <f t="array" ref="G9">_xlfn.LET(
  _xlpm.тип, H9,
  _xlpm.тир_листа, B12,
_xlpm.бр_тир_листа, B13,
_xlpm.цели_листа, B15,
  _xlpm.единици, B8,
  _xlpm.размножения, B11,
  _xlpm.цена_стандарт,MROUND( MAX(1.5, _xlpm.тир_листа * 0.0005),0.5),
   _xlpm.цена_ани, MROUND(_xlpm.единици * 0.00051, 1),
     _xlpm.цена_други, MROUND(MAX(2.5, (_xlpm.единици * 0.0006) * (1 + _xlpm.размножения/10)), 0.5),
_xlpm.цена_форматиране, MAX(MROUND(_xlfn.FLOOR.PRECISE(_xlpm.цели_листа/501, 1) * _xlpm.бр_тир_листа * 0.9, 0.5), 1.5)* IF(I9 &gt; 150, 1.2, 1),
 _xlfn.SWITCH(_xlpm.тип,
    "без", "",
    "стандарт", _xlpm.цена_стандарт,
"форматиране", _xlpm.цена_форматиране,
    "март. Ани", _xlpm.цена_ани,
    "други", _xlpm.цена_други,
    ""
  )
)</f>
        <v/>
      </c>
      <c r="H9" s="85" t="s">
        <v>39</v>
      </c>
      <c r="I9" s="526">
        <v>300</v>
      </c>
      <c r="J9" s="642" t="s">
        <v>303</v>
      </c>
      <c r="K9" s="767"/>
      <c r="L9" s="644"/>
      <c r="M9" s="813"/>
      <c r="N9" s="758"/>
      <c r="O9" s="758"/>
      <c r="P9" s="758"/>
      <c r="R9" s="7"/>
    </row>
    <row r="10" spans="1:26">
      <c r="A10" s="788" t="s">
        <v>307</v>
      </c>
      <c r="B10" s="787" t="s">
        <v>34</v>
      </c>
      <c r="C10" s="814" t="s">
        <v>312</v>
      </c>
      <c r="D10" s="758"/>
      <c r="E10" s="219"/>
      <c r="F10" s="754" t="s">
        <v>48</v>
      </c>
      <c r="G10" s="519" t="str">
        <f>_xlfn.SWITCH(H10,"да",(0.005*B12)+10.23,"+",(0.01*B12)+13,"")</f>
        <v/>
      </c>
      <c r="H10" s="32" t="s">
        <v>258</v>
      </c>
      <c r="I10" s="19"/>
      <c r="J10" s="20"/>
      <c r="K10" s="767"/>
      <c r="L10" s="767"/>
      <c r="M10" s="758"/>
      <c r="N10" s="758"/>
      <c r="O10" s="758"/>
      <c r="P10" s="758"/>
    </row>
    <row r="11" spans="1:26">
      <c r="A11" s="757" t="s">
        <v>7</v>
      </c>
      <c r="B11" s="792" cm="1">
        <f t="array" ref="B11">IF(C11&gt;0, C11, IF(B3="плаки", PlakiCalculate(B5,C5), IF(B4="487х330", "", SmartCalculate(B4,B5,C5,B9,B10))))</f>
        <v>12</v>
      </c>
      <c r="C11" s="785"/>
      <c r="D11" s="758"/>
      <c r="E11" s="770"/>
      <c r="F11" s="231" t="s">
        <v>73</v>
      </c>
      <c r="G11" s="524" t="str">
        <f>IF(H11="+",10.23+(2.56*H6)*1.8,IF(H11="без","",IF(H11="","",IF(AND(H11="да",B12&gt;1000),10.23+(2.56*H6),10.23))))</f>
        <v/>
      </c>
      <c r="H11" s="32" t="s">
        <v>39</v>
      </c>
      <c r="I11" s="767"/>
      <c r="J11" s="767"/>
      <c r="K11" s="767"/>
      <c r="L11" s="767"/>
      <c r="M11" s="758"/>
      <c r="N11" s="758"/>
      <c r="O11" s="758"/>
      <c r="P11" s="758"/>
    </row>
    <row r="12" spans="1:26">
      <c r="A12" s="371" t="s">
        <v>3</v>
      </c>
      <c r="B12" s="794">
        <f>IFERROR(IF(B8&gt;1,ROUNDUP(B8/B11,0),""),"")</f>
        <v>1200</v>
      </c>
      <c r="C12" s="758"/>
      <c r="D12" s="758"/>
      <c r="E12" s="754"/>
      <c r="F12" s="754" t="s">
        <v>29</v>
      </c>
      <c r="G12" s="91" t="s">
        <v>258</v>
      </c>
      <c r="H12" s="21"/>
      <c r="I12" s="18"/>
      <c r="J12" s="18"/>
      <c r="K12" s="18"/>
      <c r="L12" s="18"/>
      <c r="M12" s="758"/>
      <c r="N12" s="758"/>
      <c r="O12" s="758"/>
      <c r="P12" s="355"/>
      <c r="U12" s="758"/>
    </row>
    <row r="13" spans="1:26">
      <c r="A13" s="849" t="str">
        <f>TEXT("от "  &amp; B3,"0х0 см" )&amp; " тираж. листа"</f>
        <v>от f.70x100 тираж. листа</v>
      </c>
      <c r="B13" s="31">
        <f>IFERROR(_xlfn.XLOOKUP(B4,таб_Цял_Лист[формати/печат],таб_Цял_Лист[тираж. Листа от лист]),"")</f>
        <v>6</v>
      </c>
      <c r="C13" s="758"/>
      <c r="D13" s="758"/>
      <c r="E13" s="278"/>
      <c r="F13" s="232" t="s">
        <v>204</v>
      </c>
      <c r="G13" s="525" cm="1">
        <f t="array" ref="G13">_xlfn.LET(  _xlpm.тип_лак, H13,  _xlpm.цена_ед, _xlfn.XLOOKUP(_xlpm.тип_лак, Таблица1[УВ лак/ламиниране], Таблица1[УВ цена €], 0),  _xlpm.подготовка, _xlfn.SWITCH(_xlpm.тип_лак,  "частичен",довърш.!$L$11, "част. дв", довърш.!$L$12, "част.обем",Таблица1[[#This Row],[подготовка €]], "над дв.", довърш.!$L$9, "надпечат.", довърш.!$L$10, 0),  _xlfn.IFS( _xlpm.цена_ед &gt; 0, (B12 + 70) * _xlpm.цена_ед + _xlpm.подготовка, _xlpm.цена_ед = 0, "", _xlpm.цена_ед &lt; 0, 5 * H6 + _xlpm.подготовка ))</f>
        <v>15.23</v>
      </c>
      <c r="H13" s="84" t="s">
        <v>82</v>
      </c>
      <c r="I13" s="478"/>
      <c r="J13" s="532"/>
      <c r="K13" s="351"/>
      <c r="L13" s="13"/>
      <c r="M13" s="758"/>
      <c r="N13" s="758"/>
      <c r="O13" s="758"/>
      <c r="P13" s="388"/>
    </row>
    <row r="14" spans="1:26">
      <c r="A14" s="371" t="str">
        <f>IFERROR(TEXT(B15*B13-B12, "# ##0"), "") &amp; " | макулатура + тираж"</f>
        <v>90 | макулатура + тираж</v>
      </c>
      <c r="B14" s="393">
        <f>IFERROR(IF(B12&lt;=9000, B8/B11 + IFERROR(IF(OR(AND(B12&lt;=2000, B6+B7&lt;=4), AND(B12&lt;=2500, B9="да")), 25*B6, (B6+B7)*30), ""), IF(B12&gt;9000, B8/B11+(B6+B7)*40, "")), "")</f>
        <v>1275</v>
      </c>
      <c r="C14" s="758"/>
      <c r="D14" s="758"/>
      <c r="E14" s="761"/>
      <c r="F14" s="216" t="s">
        <v>160</v>
      </c>
      <c r="G14" s="520" t="str" cm="1">
        <f t="array" ref="G14">_xlfn.LET(_xlpm.тип_лам, H14, _xlpm.подготовка, _xlfn.XLOOKUP(_xlpm.тип_лам, uv, Таблица1[подготовка €], 0), _xlpm.цена_ед, _xlfn.XLOOKUP(_xlpm.тип_лам, довърш.!$I$2:$I$8, довърш.!$K$2:$K$8, 0), _xlfn.IFS( _xlpm.цена_ед &gt; 0, (B12 + 70) * _xlpm.цена_ед + _xlpm.подготовка, _xlpm.цена_ед = 0, "", _xlpm.цена_ед &lt; 0, _xlpm.подготовка ))</f>
        <v/>
      </c>
      <c r="H14" s="84" t="s">
        <v>39</v>
      </c>
      <c r="I14" s="474"/>
      <c r="J14" s="645"/>
      <c r="K14" s="352"/>
      <c r="L14" s="13"/>
      <c r="N14" s="758"/>
      <c r="O14" s="758"/>
      <c r="P14" s="758"/>
      <c r="U14" s="758"/>
    </row>
    <row r="15" spans="1:26">
      <c r="A15" s="849" t="s">
        <v>4</v>
      </c>
      <c r="B15" s="389">
        <f>IFERROR(IF(B6&gt;0,_xlfn.CEILING.MATH(B14/B13,5),""),"")</f>
        <v>215</v>
      </c>
      <c r="C15" s="758"/>
      <c r="D15" s="758"/>
      <c r="E15" s="228"/>
      <c r="F15" s="223" t="s">
        <v>202</v>
      </c>
      <c r="G15" s="790" t="str">
        <f>IF(H15="каландър",ROUNDUP((B12+70)*0.025,0),IF(H15="каландър дв.",ROUNDUP((B12+70)*0.025*2,0),""))</f>
        <v/>
      </c>
      <c r="H15" s="359" t="s">
        <v>258</v>
      </c>
      <c r="I15" s="758"/>
      <c r="J15" s="767"/>
      <c r="K15" s="767"/>
      <c r="L15" s="767"/>
      <c r="M15" s="758"/>
      <c r="N15" s="758"/>
      <c r="O15" s="758"/>
      <c r="P15" s="758"/>
      <c r="R15" s="8"/>
      <c r="U15" s="758"/>
    </row>
    <row r="16" spans="1:26">
      <c r="B16" t="s">
        <v>258</v>
      </c>
      <c r="D16" s="758"/>
      <c r="E16" s="221"/>
      <c r="F16" s="216" t="s">
        <v>32</v>
      </c>
      <c r="G16" s="519" t="str">
        <f>_xlfn.LET(_xlpm.бигове, H16, _xlpm.избор, I16, _xlpm.тир_фира, B8 + 40, _xlpm.удари, IF(ISNUMBER(_xlpm.бигове), B8 * _xlpm.бигове, 0), _xlpm.хиляди_над, IFERROR(_xlfn.FLOOR.PRECISE(_xlpm.удари / 1001, 1), 0), _xlpm.ръчен_резултат, IF(OR(_xlpm.бигове="", _xlpm.избор="без"), "", IF(_xlpm.удари &lt;= 1000, _xlpm.тир_фира * 0.005 * _xlpm.бигове, MROUND(_xlpm.тир_фира * 0.012 * _xlpm.бигове + 2.56 * _xlpm.хиляди_над, 0.5))), IF(OR(_xlpm.бигове="", _xlpm.избор="без"), "", IF(_xlpm.избор="машинно", MROUND(_xlpm.ръчен_резултат / 2, 0.5), _xlpm.ръчен_резултат)))</f>
        <v/>
      </c>
      <c r="H16" s="391" t="s">
        <v>258</v>
      </c>
      <c r="I16" s="850" t="s">
        <v>39</v>
      </c>
      <c r="J16" s="378"/>
      <c r="K16" s="758"/>
      <c r="L16" s="758"/>
      <c r="M16" s="471"/>
      <c r="N16" s="758"/>
      <c r="O16" s="758"/>
      <c r="P16" s="758"/>
      <c r="R16" s="9"/>
      <c r="U16" s="774"/>
    </row>
    <row r="17" spans="1:21">
      <c r="B17" t="s">
        <v>258</v>
      </c>
      <c r="D17" s="758"/>
      <c r="E17" s="222"/>
      <c r="F17" s="223" t="s">
        <v>40</v>
      </c>
      <c r="G17" s="524" t="str" cm="1">
        <f t="array" ref="G17">_xlfn.SWITCH(H17, "без", "", "щанцов", 0.031*(B12+50)+8, "½ щанцов", (0.033*(B12+50))*2+8,  "преге", MROUND(0.07*довърш.!B15*довърш.!B16*1.28, 5), "преге+", MROUND(MROUND(0.07*довърш.!B15*довърш.!B16*1.28, 5) * 2, 5.5),  "")</f>
        <v/>
      </c>
      <c r="H17" s="33" t="s">
        <v>258</v>
      </c>
      <c r="I17" s="378"/>
      <c r="J17" s="351"/>
      <c r="K17" s="758"/>
      <c r="L17" s="236"/>
      <c r="M17" s="758"/>
      <c r="N17" s="758"/>
      <c r="O17" s="758"/>
      <c r="P17" s="758"/>
      <c r="U17" s="100"/>
    </row>
    <row r="18" spans="1:21">
      <c r="A18" s="795"/>
      <c r="B18" s="758" t="s">
        <v>258</v>
      </c>
      <c r="C18" s="758"/>
      <c r="D18" s="758"/>
      <c r="E18" s="224"/>
      <c r="F18" s="216" t="s">
        <v>196</v>
      </c>
      <c r="G18" s="521" t="str">
        <f>IF(H17="","",IF(H17="без","",IF(H17&lt;&gt;"без",(G17*H18%),)))</f>
        <v/>
      </c>
      <c r="H18" s="205">
        <v>40</v>
      </c>
      <c r="I18" s="87" t="s">
        <v>183</v>
      </c>
      <c r="J18" s="646"/>
      <c r="K18" s="771"/>
      <c r="L18" s="647"/>
      <c r="M18" s="758"/>
      <c r="N18" s="758"/>
      <c r="O18" s="758"/>
      <c r="P18" s="758"/>
      <c r="U18" s="758"/>
    </row>
    <row r="19" spans="1:21">
      <c r="B19" s="758" t="s">
        <v>258</v>
      </c>
      <c r="C19" s="758"/>
      <c r="D19" s="758"/>
      <c r="E19" s="222"/>
      <c r="F19" s="223" t="s">
        <v>44</v>
      </c>
      <c r="G19" s="658" t="str" cm="1">
        <f t="array" ref="G19">_xlfn.LET(_xlpm.вид, H19,_xlpm.тир, B8,_xlpm.общ_тир, B12,_xlpm.цена_ед, _xlfn.XLOOKUP(_xlpm.вид, Таблица2[лепене], Таблица2[леп/цена €], 0),_xlpm.цена_кубчета, IF(_xlpm.тир &lt;= 1000, 1.5, MROUND(0.1 * _xlpm.общ_тир / 100, 1)),_xlfn.SWITCH(_xlpm.вид,
 "без", "", "каширане", _xlpm.тир * _xlpm.цена_ед + 7.67,"кубчета", _xlpm.цена_кубчета, (_xlpm.тир + 20) * _xlpm.цена_ед))</f>
        <v/>
      </c>
      <c r="H19" s="33" t="s">
        <v>39</v>
      </c>
      <c r="I19" s="354"/>
      <c r="J19" s="355"/>
      <c r="K19" s="358"/>
      <c r="L19" s="772"/>
      <c r="M19" s="758"/>
      <c r="N19" s="632">
        <v>25</v>
      </c>
      <c r="O19" s="782">
        <f>N19*O20</f>
        <v>48.89575</v>
      </c>
      <c r="P19" s="758"/>
      <c r="U19" s="758"/>
    </row>
    <row r="20" spans="1:21" ht="17.25" customHeight="1">
      <c r="A20" s="773"/>
      <c r="B20" s="758" t="s">
        <v>258</v>
      </c>
      <c r="C20" s="758"/>
      <c r="D20" s="758"/>
      <c r="E20" s="224"/>
      <c r="F20" s="216" t="s">
        <v>42</v>
      </c>
      <c r="G20" s="522" t="str" cm="1">
        <f t="array" ref="G20">_xlfn.LET(_xlpm.тир, B8, _xlpm.гънки, H20,_xlpm.тип, I20,_xlfn.SWITCH(_xlpm.тип, "ръчно", (_xlpm.тир + 30) * 0.005 * _xlpm.гънки, "Гатеви", _xlpm.тир * 0.0015 * _xlpm.гънки, "Гад ново", _xlpm.тир * 0.002 * _xlpm.гънки, "" ))</f>
        <v/>
      </c>
      <c r="H20" s="82" t="s">
        <v>258</v>
      </c>
      <c r="I20" s="83" t="s">
        <v>39</v>
      </c>
      <c r="J20" s="353">
        <f>IF(H20 &gt; 0, 10, 0)</f>
        <v>10</v>
      </c>
      <c r="K20" s="758"/>
      <c r="L20" s="772"/>
      <c r="M20" s="758"/>
      <c r="N20" s="783" t="s">
        <v>261</v>
      </c>
      <c r="O20" s="634">
        <v>1.95583</v>
      </c>
      <c r="P20" s="770" t="s">
        <v>262</v>
      </c>
      <c r="U20" s="758"/>
    </row>
    <row r="21" spans="1:21" ht="17.25" customHeight="1">
      <c r="A21" s="758"/>
      <c r="B21" s="758" t="s">
        <v>258</v>
      </c>
      <c r="C21" s="758"/>
      <c r="D21" s="758"/>
      <c r="E21" s="225"/>
      <c r="F21" s="226" t="s">
        <v>138</v>
      </c>
      <c r="G21" s="91" t="s">
        <v>258</v>
      </c>
      <c r="H21" s="278"/>
      <c r="I21" s="22"/>
      <c r="J21" s="767"/>
      <c r="K21" s="767"/>
      <c r="L21" s="767"/>
      <c r="M21" s="758"/>
      <c r="N21" s="633">
        <v>131</v>
      </c>
      <c r="O21" s="546">
        <f>N21/O20</f>
        <v>66.979236436704625</v>
      </c>
      <c r="P21" s="758"/>
      <c r="U21" s="758"/>
    </row>
    <row r="22" spans="1:21" ht="19.5" customHeight="1">
      <c r="A22" s="758"/>
      <c r="B22" s="774" t="s">
        <v>258</v>
      </c>
      <c r="C22" s="774"/>
      <c r="D22" s="775"/>
      <c r="E22" s="224"/>
      <c r="F22" s="216" t="s">
        <v>170</v>
      </c>
      <c r="G22" s="229">
        <f>IFERROR(IF(AND(B7&gt;0,B9="не"),I22*B11*2,I22*B11),"")</f>
        <v>0</v>
      </c>
      <c r="H22" s="82" t="s">
        <v>39</v>
      </c>
      <c r="I22" s="356">
        <f>VLOOKUP(H22,montaj[#All],2)</f>
        <v>0</v>
      </c>
      <c r="J22" s="648"/>
      <c r="K22" s="767"/>
      <c r="L22" s="767"/>
      <c r="M22" s="758"/>
      <c r="N22" s="767"/>
      <c r="O22" s="758"/>
      <c r="P22" s="758"/>
      <c r="R22" s="10"/>
      <c r="U22" s="758"/>
    </row>
    <row r="23" spans="1:21" ht="21" customHeight="1">
      <c r="A23" s="758"/>
      <c r="B23" s="100" t="s">
        <v>258</v>
      </c>
      <c r="C23" s="100"/>
      <c r="D23" s="775"/>
      <c r="E23" s="853" t="s">
        <v>133</v>
      </c>
      <c r="F23" s="854"/>
      <c r="G23" s="703">
        <f>_xlfn.LET( _xlpm.вариант, H23,  _xlpm.тир, B12,  _xlpm.единични, B8,  _xlpm.размножения, B11,  _xlpm.лимит_макс, 30, _xlpm.лимит_символичен, 1, _xlpm.подготовка, IF(OR(_xlpm.вариант="да", _xlpm.вариант="&lt;1000"), MAX(0.5, ROUNDUP(_xlpm.тир/1000, 0) * 0.5), 0), _xlpm.сметка_пакетиране, _xlfn.SWITCH(_xlpm.вариант, "да", IF(AND(_xlpm.тир &gt;= 500, _xlpm.размножения &gt; 2), MROUND(_xlpm.тир, 1000)/1000 * 0.5, MROUND(_xlpm.тир, 100)/2500 * 2.5), "&lt;1000", MIN(_xlpm.лимит_символичен, (MROUND(_xlpm.тир, 100)/100 * 0.5) + (_xlfn.FLOOR.PRECISE(_xlpm.единични, 100)/100 * 0.4)),0 ),IF(_xlpm.вариант="не", "", _xlpm.подготовка + MIN(_xlpm.сметка_пакетиране, _xlpm.лимит_макс)))</f>
        <v>1.5</v>
      </c>
      <c r="H23" s="89" t="s">
        <v>33</v>
      </c>
      <c r="I23" s="776"/>
      <c r="J23" s="358"/>
      <c r="K23" s="394"/>
      <c r="L23" s="767"/>
      <c r="M23" s="758"/>
      <c r="N23" s="777"/>
      <c r="O23" s="758"/>
      <c r="P23" s="758"/>
      <c r="R23" s="10"/>
      <c r="U23" s="758"/>
    </row>
    <row r="24" spans="1:21">
      <c r="A24" s="758"/>
      <c r="B24" s="758" t="s">
        <v>258</v>
      </c>
      <c r="C24" s="758"/>
      <c r="D24" s="758"/>
      <c r="E24" s="224"/>
      <c r="F24" s="227" t="s">
        <v>65</v>
      </c>
      <c r="G24" s="90" t="s">
        <v>258</v>
      </c>
      <c r="H24" s="23" t="s">
        <v>181</v>
      </c>
      <c r="I24" s="758"/>
      <c r="J24" s="24" t="s">
        <v>4</v>
      </c>
      <c r="K24" s="778"/>
      <c r="L24" s="758"/>
      <c r="M24" s="758"/>
      <c r="N24" s="758"/>
      <c r="O24" s="758"/>
      <c r="P24" s="758"/>
    </row>
    <row r="25" spans="1:21">
      <c r="A25" s="758"/>
      <c r="B25" s="758" t="s">
        <v>258</v>
      </c>
      <c r="C25" s="758"/>
      <c r="D25" s="758"/>
      <c r="E25" s="228"/>
      <c r="F25" s="223" t="s">
        <v>180</v>
      </c>
      <c r="G25" s="348" cm="1">
        <f t="array" ref="G25">_xlfn.LET(_xlpm.материал, I25, _xlpm.листа, J25, _xlpm.цена_ед, _xlfn.SWITCH(_xlpm.материал, "вестник", 0.028, "друг", 0.3,0), _xlfn.CEILING.MATH(_xlpm.листа * _xlpm.цена_ед, 0.5))</f>
        <v>0</v>
      </c>
      <c r="H25" s="791" t="s">
        <v>258</v>
      </c>
      <c r="I25" s="660" t="s">
        <v>39</v>
      </c>
      <c r="J25" s="661">
        <f>IF(OR(H25=0, I25="без", B13=0), 0, ROUNDUP((B12 / H25) / B13, 0))</f>
        <v>0</v>
      </c>
      <c r="K25" s="659"/>
      <c r="L25" s="758"/>
      <c r="M25" s="206"/>
      <c r="N25" s="758"/>
      <c r="O25" s="758"/>
      <c r="P25" s="758"/>
      <c r="U25" s="2"/>
    </row>
    <row r="26" spans="1:21">
      <c r="A26" s="758"/>
      <c r="B26" s="758" t="s">
        <v>258</v>
      </c>
      <c r="C26" s="758"/>
      <c r="D26" s="758"/>
      <c r="E26" s="224"/>
      <c r="F26" s="217" t="s">
        <v>47</v>
      </c>
      <c r="G26" s="349" t="str">
        <f>IF(H26="заобл.",(B8+40)/25.56*0.01+2.56,IF(H26="замба",(B8+40)*0.0021+2.56,""))</f>
        <v/>
      </c>
      <c r="H26" s="209" t="s">
        <v>34</v>
      </c>
      <c r="I26" s="357" t="s">
        <v>238</v>
      </c>
      <c r="J26" s="491" t="s">
        <v>239</v>
      </c>
      <c r="K26" s="758"/>
      <c r="L26" s="758"/>
      <c r="M26" s="758"/>
      <c r="N26" s="779"/>
      <c r="O26" s="758"/>
      <c r="P26" s="758"/>
    </row>
    <row r="27" spans="1:21">
      <c r="A27" s="758"/>
      <c r="B27" s="758" t="s">
        <v>258</v>
      </c>
      <c r="C27" s="758"/>
      <c r="D27" s="758"/>
      <c r="E27" s="228"/>
      <c r="F27" s="223" t="s">
        <v>197</v>
      </c>
      <c r="G27" s="477">
        <f>IF(H27="да",7.67*I27/100*J27+1,IF(H27="доставка+",7.67*I27/100*J27+2.3,""))</f>
        <v>2.3230750000000002</v>
      </c>
      <c r="H27" s="33" t="s">
        <v>33</v>
      </c>
      <c r="I27" s="498">
        <v>15</v>
      </c>
      <c r="J27" s="495">
        <v>1.1499999999999999</v>
      </c>
      <c r="K27" s="758"/>
      <c r="L27" s="758"/>
      <c r="M27" s="758"/>
      <c r="N27" s="758"/>
      <c r="O27" s="758"/>
      <c r="P27" s="758"/>
    </row>
    <row r="28" spans="1:21">
      <c r="B28" s="758" t="s">
        <v>258</v>
      </c>
      <c r="C28" s="758"/>
      <c r="D28" s="13"/>
      <c r="E28" s="224"/>
      <c r="F28" s="217" t="s">
        <v>240</v>
      </c>
      <c r="G28" s="640">
        <f>IF(H28&gt;0,ROUNDUP(SUM(G4:G7,G9:G12,G16,G18:G20,G22:G26),0)*H28%,0)</f>
        <v>13.600000000000001</v>
      </c>
      <c r="H28" s="210">
        <v>40</v>
      </c>
      <c r="I28" s="87" t="s">
        <v>183</v>
      </c>
      <c r="J28" s="796" t="str">
        <f>IF(H28&lt;&gt;40, "⚠️ ВНИМАНИЕ: Процентът е променен!", "")</f>
        <v/>
      </c>
      <c r="K28" s="758"/>
      <c r="L28" s="758"/>
      <c r="M28" s="758"/>
      <c r="N28" s="758"/>
      <c r="O28" s="758"/>
      <c r="P28" s="758"/>
    </row>
    <row r="29" spans="1:21">
      <c r="A29" s="758"/>
      <c r="B29" s="758" t="s">
        <v>258</v>
      </c>
      <c r="C29" s="758"/>
      <c r="D29" s="758"/>
      <c r="E29" s="758"/>
      <c r="F29" s="758"/>
      <c r="G29" s="758"/>
      <c r="H29" s="758"/>
      <c r="I29" s="758"/>
      <c r="J29" s="758"/>
      <c r="K29" s="758"/>
      <c r="L29" s="758"/>
      <c r="M29" s="206"/>
      <c r="N29" s="758"/>
      <c r="O29" s="758"/>
      <c r="P29" s="758"/>
    </row>
    <row r="30" spans="1:21">
      <c r="A30" s="758"/>
      <c r="B30" s="758" t="s">
        <v>258</v>
      </c>
      <c r="C30" s="758"/>
      <c r="D30" s="758"/>
      <c r="E30" s="758"/>
      <c r="F30" s="17" t="s">
        <v>14</v>
      </c>
      <c r="G30" s="542">
        <f>ROUNDUP(SUM(G3:G$27)+G28,1)</f>
        <v>73.199999999999989</v>
      </c>
      <c r="H30" s="758"/>
      <c r="I30" s="758"/>
      <c r="J30" s="758"/>
      <c r="K30" s="758"/>
      <c r="L30" s="758"/>
      <c r="M30" s="758"/>
      <c r="N30" s="758"/>
      <c r="O30" s="758"/>
      <c r="P30" s="758"/>
    </row>
    <row r="31" spans="1:21" ht="15.75" thickBot="1">
      <c r="A31" s="758"/>
      <c r="B31" s="758" t="s">
        <v>258</v>
      </c>
      <c r="C31" s="758"/>
      <c r="D31" s="758"/>
      <c r="E31" s="758"/>
      <c r="F31" s="37" t="s">
        <v>87</v>
      </c>
      <c r="G31" s="543">
        <f>IFERROR(G30/B8,"")</f>
        <v>5.0833333333333329E-3</v>
      </c>
      <c r="H31" s="758"/>
      <c r="I31" s="758"/>
      <c r="J31" s="13"/>
      <c r="K31" s="13"/>
      <c r="L31" s="208"/>
      <c r="M31" s="758"/>
      <c r="N31" s="207"/>
      <c r="O31" s="758"/>
      <c r="P31" s="758"/>
    </row>
    <row r="32" spans="1:21" ht="15.75" thickTop="1">
      <c r="A32" s="758"/>
      <c r="B32" s="758" t="s">
        <v>258</v>
      </c>
      <c r="C32" s="758"/>
      <c r="D32" s="758"/>
      <c r="E32" s="758"/>
      <c r="F32" s="38" t="s">
        <v>158</v>
      </c>
      <c r="G32" s="544">
        <f>G30-G33</f>
        <v>48.296924999999987</v>
      </c>
      <c r="H32" s="758"/>
      <c r="I32" s="758" t="s">
        <v>137</v>
      </c>
      <c r="J32" s="780"/>
      <c r="K32" s="758"/>
      <c r="L32" s="758"/>
      <c r="M32" s="758"/>
      <c r="N32" s="758"/>
      <c r="O32" s="758"/>
      <c r="P32" s="758"/>
    </row>
    <row r="33" spans="1:16">
      <c r="A33" s="758"/>
      <c r="B33" s="758" t="s">
        <v>258</v>
      </c>
      <c r="C33" s="758"/>
      <c r="D33" s="758"/>
      <c r="E33" s="758"/>
      <c r="F33" s="38" t="s">
        <v>159</v>
      </c>
      <c r="G33" s="545">
        <f>IFERROR(SUM(G3, G13:G15, G17, G21, G24, G25, G27) + IF(AND(ISNUMBER(G8), G8&gt;0),I8*2.45, 0), 0)</f>
        <v>24.903075000000001</v>
      </c>
      <c r="H33" s="758"/>
      <c r="I33" s="758"/>
      <c r="J33" s="758"/>
      <c r="K33" s="758"/>
      <c r="L33" s="758"/>
      <c r="M33" s="758"/>
      <c r="N33" s="758"/>
      <c r="O33" s="758"/>
      <c r="P33" s="758"/>
    </row>
    <row r="34" spans="1:16">
      <c r="A34" s="211"/>
      <c r="B34" s="758" t="s">
        <v>258</v>
      </c>
      <c r="C34" s="758"/>
      <c r="D34" s="758"/>
      <c r="E34" s="758"/>
      <c r="F34" s="211"/>
      <c r="G34" s="758"/>
      <c r="H34" s="758"/>
      <c r="I34" s="758"/>
      <c r="J34" s="758"/>
      <c r="K34" s="758"/>
      <c r="L34" s="758"/>
      <c r="M34" s="781"/>
      <c r="N34" s="758"/>
      <c r="O34" s="758"/>
      <c r="P34" s="758"/>
    </row>
    <row r="35" spans="1:16">
      <c r="B35" t="s">
        <v>258</v>
      </c>
      <c r="M35" s="5"/>
    </row>
    <row r="36" spans="1:16">
      <c r="B36" t="s">
        <v>258</v>
      </c>
      <c r="K36" s="238"/>
      <c r="L36" s="7"/>
      <c r="M36" s="6"/>
    </row>
    <row r="37" spans="1:16">
      <c r="B37" t="s">
        <v>258</v>
      </c>
      <c r="L37" s="239"/>
    </row>
    <row r="38" spans="1:16">
      <c r="B38" t="s">
        <v>258</v>
      </c>
      <c r="L38" s="240"/>
    </row>
    <row r="39" spans="1:16">
      <c r="B39" t="s">
        <v>258</v>
      </c>
    </row>
    <row r="40" spans="1:16">
      <c r="B40" t="s">
        <v>258</v>
      </c>
    </row>
    <row r="41" spans="1:16">
      <c r="B41" t="s">
        <v>258</v>
      </c>
    </row>
    <row r="42" spans="1:16">
      <c r="B42" t="s">
        <v>258</v>
      </c>
    </row>
    <row r="43" spans="1:16">
      <c r="B43" t="s">
        <v>258</v>
      </c>
    </row>
    <row r="44" spans="1:16">
      <c r="B44" t="s">
        <v>258</v>
      </c>
    </row>
    <row r="45" spans="1:16">
      <c r="B45" t="s">
        <v>258</v>
      </c>
    </row>
    <row r="46" spans="1:16">
      <c r="B46" t="s">
        <v>258</v>
      </c>
    </row>
    <row r="47" spans="1:16">
      <c r="B47" t="s">
        <v>258</v>
      </c>
    </row>
    <row r="48" spans="1:16">
      <c r="B48" t="s">
        <v>258</v>
      </c>
    </row>
    <row r="49" spans="2:2">
      <c r="B49" t="s">
        <v>258</v>
      </c>
    </row>
    <row r="50" spans="2:2">
      <c r="B50" t="s">
        <v>258</v>
      </c>
    </row>
    <row r="51" spans="2:2">
      <c r="B51" t="s">
        <v>258</v>
      </c>
    </row>
    <row r="52" spans="2:2">
      <c r="B52" t="s">
        <v>258</v>
      </c>
    </row>
    <row r="53" spans="2:2">
      <c r="B53" t="s">
        <v>258</v>
      </c>
    </row>
    <row r="54" spans="2:2">
      <c r="B54" t="s">
        <v>258</v>
      </c>
    </row>
    <row r="55" spans="2:2">
      <c r="B55" t="s">
        <v>258</v>
      </c>
    </row>
    <row r="56" spans="2:2">
      <c r="B56" t="s">
        <v>258</v>
      </c>
    </row>
    <row r="57" spans="2:2">
      <c r="B57" t="s">
        <v>258</v>
      </c>
    </row>
    <row r="58" spans="2:2">
      <c r="B58" t="s">
        <v>258</v>
      </c>
    </row>
    <row r="59" spans="2:2">
      <c r="B59" t="s">
        <v>258</v>
      </c>
    </row>
    <row r="60" spans="2:2">
      <c r="B60" t="s">
        <v>258</v>
      </c>
    </row>
    <row r="61" spans="2:2">
      <c r="B61" t="s">
        <v>258</v>
      </c>
    </row>
    <row r="62" spans="2:2">
      <c r="B62" t="s">
        <v>258</v>
      </c>
    </row>
    <row r="63" spans="2:2">
      <c r="B63" t="s">
        <v>258</v>
      </c>
    </row>
    <row r="64" spans="2:2">
      <c r="B64" t="s">
        <v>258</v>
      </c>
    </row>
    <row r="65" spans="2:2">
      <c r="B65" t="s">
        <v>258</v>
      </c>
    </row>
    <row r="66" spans="2:2">
      <c r="B66" t="s">
        <v>258</v>
      </c>
    </row>
    <row r="67" spans="2:2">
      <c r="B67" t="s">
        <v>258</v>
      </c>
    </row>
    <row r="68" spans="2:2">
      <c r="B68" t="s">
        <v>258</v>
      </c>
    </row>
    <row r="69" spans="2:2">
      <c r="B69" t="s">
        <v>258</v>
      </c>
    </row>
    <row r="70" spans="2:2">
      <c r="B70" t="s">
        <v>258</v>
      </c>
    </row>
    <row r="71" spans="2:2">
      <c r="B71" t="s">
        <v>258</v>
      </c>
    </row>
    <row r="72" spans="2:2">
      <c r="B72" t="s">
        <v>258</v>
      </c>
    </row>
    <row r="73" spans="2:2">
      <c r="B73" t="s">
        <v>258</v>
      </c>
    </row>
    <row r="74" spans="2:2">
      <c r="B74" t="s">
        <v>258</v>
      </c>
    </row>
    <row r="75" spans="2:2">
      <c r="B75" t="s">
        <v>258</v>
      </c>
    </row>
    <row r="76" spans="2:2">
      <c r="B76" t="s">
        <v>258</v>
      </c>
    </row>
    <row r="77" spans="2:2">
      <c r="B77" t="s">
        <v>258</v>
      </c>
    </row>
    <row r="78" spans="2:2">
      <c r="B78" t="s">
        <v>258</v>
      </c>
    </row>
    <row r="79" spans="2:2">
      <c r="B79" t="s">
        <v>258</v>
      </c>
    </row>
    <row r="80" spans="2:2">
      <c r="B80" t="s">
        <v>258</v>
      </c>
    </row>
    <row r="81" spans="2:2">
      <c r="B81" t="s">
        <v>258</v>
      </c>
    </row>
    <row r="82" spans="2:2">
      <c r="B82" t="s">
        <v>258</v>
      </c>
    </row>
    <row r="83" spans="2:2">
      <c r="B83" t="s">
        <v>258</v>
      </c>
    </row>
    <row r="84" spans="2:2">
      <c r="B84" t="s">
        <v>258</v>
      </c>
    </row>
    <row r="85" spans="2:2">
      <c r="B85" t="s">
        <v>258</v>
      </c>
    </row>
    <row r="86" spans="2:2">
      <c r="B86" t="s">
        <v>258</v>
      </c>
    </row>
    <row r="87" spans="2:2">
      <c r="B87" t="s">
        <v>258</v>
      </c>
    </row>
    <row r="88" spans="2:2">
      <c r="B88" t="s">
        <v>258</v>
      </c>
    </row>
    <row r="89" spans="2:2">
      <c r="B89" t="s">
        <v>258</v>
      </c>
    </row>
    <row r="90" spans="2:2">
      <c r="B90" t="s">
        <v>258</v>
      </c>
    </row>
    <row r="91" spans="2:2">
      <c r="B91" t="s">
        <v>258</v>
      </c>
    </row>
  </sheetData>
  <dataConsolidate function="varp">
    <dataRefs count="1">
      <dataRef ref="C7" sheet="черно+"/>
    </dataRefs>
  </dataConsolidate>
  <mergeCells count="6">
    <mergeCell ref="A1:C1"/>
    <mergeCell ref="E5:F5"/>
    <mergeCell ref="E23:F23"/>
    <mergeCell ref="E2:F2"/>
    <mergeCell ref="E4:F4"/>
    <mergeCell ref="E1:I1"/>
  </mergeCells>
  <phoneticPr fontId="133" type="noConversion"/>
  <conditionalFormatting sqref="H13">
    <cfRule type="containsText" dxfId="20" priority="40" operator="containsText" text="част">
      <formula>NOT(ISERROR(SEARCH("част",H13)))</formula>
    </cfRule>
  </conditionalFormatting>
  <conditionalFormatting sqref="F21">
    <cfRule type="expression" dxfId="19" priority="16">
      <formula>SEARCH($H$13,"част. дв**")</formula>
    </cfRule>
    <cfRule type="expression" dxfId="18" priority="17">
      <formula>SEARCH($H$13,"част.обем*")</formula>
    </cfRule>
    <cfRule type="expression" dxfId="17" priority="18">
      <formula>SEARCH($H$13,"частичен*")</formula>
    </cfRule>
  </conditionalFormatting>
  <conditionalFormatting sqref="H15">
    <cfRule type="expression" dxfId="16" priority="13">
      <formula>H14&lt;&gt;"без"</formula>
    </cfRule>
  </conditionalFormatting>
  <conditionalFormatting sqref="B4 U12">
    <cfRule type="expression" dxfId="15" priority="71">
      <formula>IF($H$14&lt;&gt;"без",TRUE,FALSE)</formula>
    </cfRule>
    <cfRule type="expression" dxfId="14" priority="72">
      <formula>IF($H$13&lt;&gt;"без",TRUE,FALSE)</formula>
    </cfRule>
  </conditionalFormatting>
  <conditionalFormatting sqref="H28">
    <cfRule type="expression" dxfId="13" priority="8">
      <formula>$H$28&lt;&gt;40</formula>
    </cfRule>
  </conditionalFormatting>
  <conditionalFormatting sqref="I9">
    <cfRule type="expression" dxfId="12" priority="7">
      <formula>AND($H$9="форматиране",$I$9="")</formula>
    </cfRule>
  </conditionalFormatting>
  <conditionalFormatting sqref="C11">
    <cfRule type="expression" dxfId="11" priority="1">
      <formula>AND(C11&gt;0, C11&lt;&gt;"")</formula>
    </cfRule>
  </conditionalFormatting>
  <conditionalFormatting sqref="H5">
    <cfRule type="cellIs" dxfId="10" priority="75" operator="equal">
      <formula>$B$9</formula>
    </cfRule>
  </conditionalFormatting>
  <dataValidations xWindow="519" yWindow="635" count="36">
    <dataValidation type="list" allowBlank="1" showInputMessage="1" showErrorMessage="1" prompt="лепене" sqref="H19" xr:uid="{00000000-0002-0000-0000-000001000000}">
      <formula1>lepene</formula1>
    </dataValidation>
    <dataValidation errorStyle="information" allowBlank="1" showInputMessage="1" showErrorMessage="1" sqref="D22:D23" xr:uid="{00000000-0002-0000-0000-000002000000}"/>
    <dataValidation showInputMessage="1" showErrorMessage="1" prompt="цена без ддс" sqref="H3" xr:uid="{00000000-0002-0000-0000-000003000000}"/>
    <dataValidation type="list" errorStyle="information" allowBlank="1" showInputMessage="1" showErrorMessage="1" prompt="ддс" sqref="I3" xr:uid="{00000000-0002-0000-0000-000004000000}">
      <formula1>"със,без"</formula1>
    </dataValidation>
    <dataValidation type="list" allowBlank="1" showInputMessage="1" showErrorMessage="1" sqref="U16 S14 B6" xr:uid="{00000000-0002-0000-0000-000005000000}">
      <formula1>"1,2,3,4,5,6,7,8,9,10,11,12,13,0"</formula1>
    </dataValidation>
    <dataValidation type="list" allowBlank="1" showInputMessage="1" showErrorMessage="1" prompt="0.01 Euro за удар + 2,56 Euro подготовка на машината" sqref="H26" xr:uid="{00000000-0002-0000-0000-000006000000}">
      <formula1>"заобл.,не,замба"</formula1>
    </dataValidation>
    <dataValidation type="list" allowBlank="1" showInputMessage="1" showErrorMessage="1" prompt="биговане_x000a_1 биг_x000a_2 бига_x000a_3 бига_x000a_4 бига" sqref="H16" xr:uid="{00000000-0002-0000-0000-000007000000}">
      <formula1>"1,2,3,4,5,6"</formula1>
    </dataValidation>
    <dataValidation type="list" allowBlank="1" showInputMessage="1" showErrorMessage="1" sqref="U17 T14 B7" xr:uid="{00000000-0002-0000-0000-000008000000}">
      <formula1>"0,1,2,3,4,5,6,7,8"</formula1>
    </dataValidation>
    <dataValidation type="list" errorStyle="information" allowBlank="1" showInputMessage="1" showErrorMessage="1" prompt="избери" sqref="H9" xr:uid="{00000000-0002-0000-0000-000009000000}">
      <formula1>"стандарт,форматиране,март. Ани,без,други"</formula1>
    </dataValidation>
    <dataValidation type="list" allowBlank="1" showInputMessage="1" showErrorMessage="1" prompt="данни за преге_x000a_взимат се от довършителни!!" sqref="H17" xr:uid="{00000000-0002-0000-0000-00000A000000}">
      <formula1>"без,щанцов,½ щанцов,преге,преге+"</formula1>
    </dataValidation>
    <dataValidation type="list" allowBlank="1" showInputMessage="1" showErrorMessage="1" prompt="въведи брой гънки" sqref="H20" xr:uid="{00000000-0002-0000-0000-00000B000000}">
      <formula1>"0,1,2,3,4,5,6"</formula1>
    </dataValidation>
    <dataValidation type="list" allowBlank="1" showInputMessage="1" showErrorMessage="1" sqref="I20" xr:uid="{00000000-0002-0000-0000-00000C000000}">
      <formula1>"ръчно,без,Гатеви,Гад ново"</formula1>
    </dataValidation>
    <dataValidation type="list" allowBlank="1" showInputMessage="1" showErrorMessage="1" sqref="U7 S8 B3" xr:uid="{00000000-0002-0000-0000-00000D000000}">
      <formula1>formati</formula1>
    </dataValidation>
    <dataValidation type="list" allowBlank="1" showInputMessage="1" showErrorMessage="1" sqref="H11" xr:uid="{00000000-0002-0000-0000-00000E000000}">
      <formula1>"без,да,+"</formula1>
    </dataValidation>
    <dataValidation type="list" allowBlank="1" showInputMessage="1" showErrorMessage="1" prompt="номерация:_x000a_- стандарт - 0,001 лв_x000a_- + номер. - повече номератори - 0,002" sqref="H10" xr:uid="{00000000-0002-0000-0000-00000F000000}">
      <formula1>"без,да,+"</formula1>
    </dataValidation>
    <dataValidation type="list" allowBlank="1" showInputMessage="1" showErrorMessage="1" sqref="H8" xr:uid="{00000000-0002-0000-0000-000010000000}">
      <formula1>"от клиент,да"</formula1>
    </dataValidation>
    <dataValidation type="list" allowBlank="1" showInputMessage="1" showErrorMessage="1" sqref="A22" xr:uid="{00000000-0002-0000-0000-000011000000}">
      <formula1>"кочани,бройки"</formula1>
    </dataValidation>
    <dataValidation type="list" allowBlank="1" showInputMessage="1" showErrorMessage="1" sqref="H23" xr:uid="{00000000-0002-0000-0000-000012000000}">
      <formula1>"да,не,&lt;1000"</formula1>
    </dataValidation>
    <dataValidation type="list" allowBlank="1" showInputMessage="1" showErrorMessage="1" sqref="H22" xr:uid="{00000000-0002-0000-0000-000013000000}">
      <formula1>el.montaj</formula1>
    </dataValidation>
    <dataValidation type="list" allowBlank="1" showInputMessage="1" showErrorMessage="1" sqref="I25" xr:uid="{00000000-0002-0000-0000-000015000000}">
      <formula1>"без,вестник,друг"</formula1>
    </dataValidation>
    <dataValidation allowBlank="1" showInputMessage="1" showErrorMessage="1" prompt="въведи цифра" sqref="H25" xr:uid="{00000000-0002-0000-0000-000016000000}"/>
    <dataValidation type="list" allowBlank="1" showInputMessage="1" showErrorMessage="1" prompt="ламиниране" sqref="H13" xr:uid="{00000000-0002-0000-0000-000017000000}">
      <formula1>uv</formula1>
    </dataValidation>
    <dataValidation type="decimal" errorStyle="information" operator="greaterThanOrEqual" allowBlank="1" showInputMessage="1" showErrorMessage="1" prompt="Въведи % оскъпяване или остави 0" sqref="H28" xr:uid="{00000000-0002-0000-0000-000018000000}">
      <formula1>0</formula1>
    </dataValidation>
    <dataValidation type="whole" errorStyle="information" operator="greaterThanOrEqual" allowBlank="1" showInputMessage="1" showErrorMessage="1" prompt="Въведи %  или остави 0" sqref="H18" xr:uid="{00000000-0002-0000-0000-000019000000}">
      <formula1>0</formula1>
    </dataValidation>
    <dataValidation errorStyle="information" operator="greaterThanOrEqual" allowBlank="1" showInputMessage="1" showErrorMessage="1" sqref="J27" xr:uid="{00000000-0002-0000-0000-00001A000000}"/>
    <dataValidation type="list" allowBlank="1" showInputMessage="1" showErrorMessage="1" prompt="транспорт за хартия" sqref="H27" xr:uid="{00000000-0002-0000-0000-00001B000000}">
      <formula1>"да,не,доставка+"</formula1>
    </dataValidation>
    <dataValidation type="list" allowBlank="1" showInputMessage="1" showErrorMessage="1" sqref="H15" xr:uid="{00000000-0002-0000-0000-00001C000000}">
      <formula1>"каландър,каландър дв.,без к"</formula1>
    </dataValidation>
    <dataValidation allowBlank="1" showErrorMessage="1" sqref="I17" xr:uid="{00000000-0002-0000-0000-00001D000000}"/>
    <dataValidation allowBlank="1" showInputMessage="1" showErrorMessage="1" prompt="може да се използва приложението за изчисление на размножения..." sqref="U15 T12 B11" xr:uid="{1AFABC4A-1A82-412E-9B63-B77124761E0B}"/>
    <dataValidation type="list" allowBlank="1" showInputMessage="1" showErrorMessage="1" sqref="U12 T8 B4" xr:uid="{00000000-0002-0000-0000-000014000000}">
      <formula1>INDIRECT($B$3)</formula1>
    </dataValidation>
    <dataValidation type="list" allowBlank="1" showInputMessage="1" showErrorMessage="1" sqref="H7" xr:uid="{7A772803-8F68-43A1-B108-30B63223F95F}">
      <formula1>"да, без"</formula1>
    </dataValidation>
    <dataValidation allowBlank="1" showInputMessage="1" showErrorMessage="1" prompt="  // Стандартно рязане: смятаме го на база бройки (C8)_x000a_  // 0,0005 е малка цена за бройка, за да не &quot;излита&quot; цената твърде високо_x000a_// Логика &quot;Други&quot; (Сложно): _x000a_// Тук единичните бройки тежат най-много, умножени по коефициента на сложност (размноженията)_x000a_" sqref="G9" xr:uid="{35C5D5F2-7D76-4E4A-8389-A862FA33E977}"/>
    <dataValidation type="list" allowBlank="1" showInputMessage="1" showErrorMessage="1" sqref="N5 U14 T11 B10" xr:uid="{B5F36911-314A-4B16-9CBF-14A8C9CC6E71}">
      <formula1>"да,не,"</formula1>
    </dataValidation>
    <dataValidation type="decimal" operator="greaterThanOrEqual" allowBlank="1" showInputMessage="1" showErrorMessage="1" error="може да се въвеждат само цифри!" prompt="може да се въвеждат само цифри!" sqref="L4:M4 B5:C5 S10:T10" xr:uid="{B39E2C5A-CE1E-417B-9F84-0DE3D46934DD}">
      <formula1>0</formula1>
    </dataValidation>
    <dataValidation allowBlank="1" showInputMessage="1" showErrorMessage="1" prompt="когато имаме различни формати за рязане, въвеждаме ръчно броя на размноженията..." sqref="C11" xr:uid="{B4B0FF4B-D106-4C62-AECD-0EB5C9B9C77A}"/>
    <dataValidation type="list" allowBlank="1" showInputMessage="1" showErrorMessage="1" sqref="I16" xr:uid="{92FC9E4B-24CC-473E-8EC0-7F5D82FD91B7}">
      <formula1>"без,ръчно,машинно"</formula1>
    </dataValidation>
  </dataValidations>
  <pageMargins left="0.7" right="0.7" top="0.75" bottom="0.75" header="0.3" footer="0.3"/>
  <pageSetup paperSize="256" scale="52" fitToWidth="0" fitToHeight="0" orientation="landscape" horizontalDpi="4294967293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19" yWindow="635" count="2">
        <x14:dataValidation type="list" allowBlank="1" showInputMessage="1" showErrorMessage="1" prompt="ламиниране" xr:uid="{00000000-0002-0000-0000-00001E000000}">
          <x14:formula1>
            <xm:f>довърш.!$I$2:$I$8</xm:f>
          </x14:formula1>
          <xm:sqref>H14</xm:sqref>
        </x14:dataValidation>
        <x14:dataValidation type="list" allowBlank="1" showInputMessage="1" showErrorMessage="1" xr:uid="{00000000-0002-0000-0000-00001F000000}">
          <x14:formula1>
            <xm:f>довърш.!$C$5:$C$8</xm:f>
          </x14:formula1>
          <xm:sqref>U19 T16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1">
    <tabColor theme="8" tint="0.39997558519241921"/>
  </sheetPr>
  <dimension ref="A1:W37"/>
  <sheetViews>
    <sheetView showGridLines="0" zoomScaleNormal="100" zoomScaleSheetLayoutView="100" workbookViewId="0">
      <selection activeCell="P2" sqref="P2:Q2"/>
    </sheetView>
  </sheetViews>
  <sheetFormatPr defaultColWidth="9.140625" defaultRowHeight="14.45" customHeight="1"/>
  <cols>
    <col min="1" max="1" width="6.5703125" style="243" customWidth="1"/>
    <col min="2" max="2" width="21.28515625" style="243" customWidth="1"/>
    <col min="3" max="3" width="10.140625" style="243" customWidth="1"/>
    <col min="4" max="4" width="5.28515625" style="243" customWidth="1"/>
    <col min="5" max="5" width="3.85546875" style="243" customWidth="1"/>
    <col min="6" max="6" width="10.28515625" style="243" customWidth="1"/>
    <col min="7" max="7" width="13.7109375" style="243" customWidth="1"/>
    <col min="8" max="8" width="10.140625" style="243" customWidth="1"/>
    <col min="9" max="9" width="7.85546875" style="243" customWidth="1"/>
    <col min="10" max="10" width="7.5703125" style="243" customWidth="1"/>
    <col min="11" max="11" width="7.7109375" style="243" customWidth="1"/>
    <col min="12" max="12" width="8.42578125" style="243" customWidth="1"/>
    <col min="13" max="13" width="8.140625" style="243" customWidth="1"/>
    <col min="14" max="14" width="9.85546875" style="243" bestFit="1" customWidth="1"/>
    <col min="15" max="15" width="11.140625" style="243" customWidth="1"/>
    <col min="16" max="16384" width="9.140625" style="243"/>
  </cols>
  <sheetData>
    <row r="1" spans="1:23" ht="14.45" customHeight="1">
      <c r="A1" s="862" t="s">
        <v>162</v>
      </c>
      <c r="B1" s="862"/>
      <c r="C1" s="862"/>
      <c r="G1" s="247" t="s">
        <v>10</v>
      </c>
      <c r="H1" s="347" t="s">
        <v>131</v>
      </c>
    </row>
    <row r="2" spans="1:23" ht="14.45" customHeight="1">
      <c r="E2" s="857"/>
      <c r="F2" s="857"/>
      <c r="H2" s="248" t="s">
        <v>15</v>
      </c>
      <c r="I2" s="242" t="s">
        <v>27</v>
      </c>
    </row>
    <row r="3" spans="1:23" ht="14.45" customHeight="1">
      <c r="A3" s="397" t="str">
        <f>IF(C3="Hymiya","f.43x61","")</f>
        <v/>
      </c>
      <c r="B3" s="250" t="s">
        <v>0</v>
      </c>
      <c r="C3" s="304" t="s">
        <v>214</v>
      </c>
      <c r="D3" s="275"/>
      <c r="E3" s="316"/>
      <c r="F3" s="317" t="s">
        <v>166</v>
      </c>
      <c r="G3" s="572" t="str">
        <f>IFERROR(IF(I3="със",C17*H3*1.2,IF(I3="без",ROUNDUP(C17*H3*C12,0.5),"")),"")</f>
        <v/>
      </c>
      <c r="H3" s="571" t="s">
        <v>258</v>
      </c>
      <c r="I3" s="274" t="s">
        <v>39</v>
      </c>
      <c r="J3" s="275"/>
      <c r="K3" s="276"/>
      <c r="L3" s="276"/>
      <c r="M3" s="275"/>
      <c r="W3" s="251"/>
    </row>
    <row r="4" spans="1:23" ht="14.45" customHeight="1">
      <c r="A4" s="253"/>
      <c r="B4" s="376" t="s">
        <v>2</v>
      </c>
      <c r="C4" s="305" t="s">
        <v>258</v>
      </c>
      <c r="D4" s="275"/>
      <c r="E4" s="858" t="s">
        <v>19</v>
      </c>
      <c r="F4" s="858"/>
      <c r="G4" s="573" t="str">
        <f>IFERROR(IF(C9="черно",(C7+C8)*H4,IF(C9="не",(C7+C8)*H4,IF(C9&lt;&gt;"черно",H4*C7,""))),"")</f>
        <v/>
      </c>
      <c r="H4" s="277">
        <f>IF(C9="черно",довърш.!G2,IF(C9="черно с обр.",довърш.!G3,IF(C9&lt;&gt;"черно",довърш.!G4)))</f>
        <v>8</v>
      </c>
      <c r="I4" s="278"/>
      <c r="J4" s="279" t="str">
        <f>IF(C7="да",H4*C6,IF(C7="не",(C6+C5)*H4,IF(C7="черно",(C6+C5)*H4,IF(C7="черно с обр.",H4*C6,IF(C7="пантон",(C6+C5)*H4,IF(C7="пантон с обр.",H4*C6,""))))))</f>
        <v/>
      </c>
      <c r="K4" s="280"/>
      <c r="L4" s="280"/>
      <c r="M4" s="278"/>
      <c r="W4" s="252"/>
    </row>
    <row r="5" spans="1:23" ht="14.45" customHeight="1">
      <c r="A5" s="249"/>
      <c r="B5" s="375" t="s">
        <v>30</v>
      </c>
      <c r="C5" s="306" t="s">
        <v>258</v>
      </c>
      <c r="D5" s="275"/>
      <c r="E5" s="859" t="s">
        <v>25</v>
      </c>
      <c r="F5" s="859"/>
      <c r="G5" s="574" t="str" cm="1">
        <f t="array" ref="G5">_xlfn.LET( _xlpm.база, 2.7 * C8,  _xlpm.тираж_100, FLOOR(C14, 100),  _xlpm.коеф_хиляди, _xlpm.тираж_100 /1000, _xlfn.SWITCH(H5, "да", _xlpm.база * MAX(1, ROUNDUP(_xlpm.коеф_хиляди, 0)), "черно с обр.",MROUND(_xlpm.база * MAX(1, _xlpm.коеф_хиляди), 5), ""  ))</f>
        <v/>
      </c>
      <c r="H5" s="362" t="str">
        <f>$C$9</f>
        <v/>
      </c>
      <c r="I5" s="278"/>
      <c r="J5" s="279"/>
      <c r="K5" s="280"/>
      <c r="L5" s="280"/>
      <c r="M5" s="237"/>
      <c r="W5" s="252"/>
    </row>
    <row r="6" spans="1:23" ht="14.45" customHeight="1">
      <c r="A6" s="253"/>
      <c r="B6" s="245" t="s">
        <v>169</v>
      </c>
      <c r="C6" s="254" t="s">
        <v>258</v>
      </c>
      <c r="D6" s="275"/>
      <c r="E6" s="318"/>
      <c r="F6" s="319" t="s">
        <v>26</v>
      </c>
      <c r="G6" s="636" t="str" cm="1">
        <f t="array" ref="G6">IFERROR(_xlfn.SWITCH(C9, "черно", (C7+C8)*C12,  "не", (C7+C8)*C12, "черно с обр.", C7*C12,  "да", C7*C12, 0) * 2.7 * _xlfn.FLOOR.PRECISE(C14/1001, 1), "")</f>
        <v/>
      </c>
      <c r="H6" s="281" t="str">
        <f>IFERROR(_xlfn.FLOOR.PRECISE(C14*C12/1001,1),"")</f>
        <v/>
      </c>
      <c r="I6" s="278"/>
      <c r="J6" s="279"/>
      <c r="K6" s="278"/>
      <c r="L6" s="275"/>
      <c r="M6" s="278"/>
    </row>
    <row r="7" spans="1:23" ht="14.45" customHeight="1">
      <c r="A7" s="249"/>
      <c r="B7" s="255" t="s">
        <v>24</v>
      </c>
      <c r="C7" s="246" t="s">
        <v>258</v>
      </c>
      <c r="D7" s="275"/>
      <c r="E7" s="320"/>
      <c r="F7" s="317" t="s">
        <v>13</v>
      </c>
      <c r="G7" s="637" t="str">
        <f>IF(H7="да",2.81*I7,IF(H7="всеки цвят отд.",C12*I7*2.81,""))</f>
        <v/>
      </c>
      <c r="H7" s="282" t="s">
        <v>258</v>
      </c>
      <c r="I7" s="283">
        <f>IF(C9="да",C7,IF(C9="не",C7+C8,IF(C9="черно",C7+C8,IF(C9="черно с обр.",C7,))))</f>
        <v>0</v>
      </c>
      <c r="J7" s="392" t="s">
        <v>72</v>
      </c>
      <c r="K7" s="275"/>
      <c r="L7" s="275"/>
      <c r="M7" s="275"/>
    </row>
    <row r="8" spans="1:23" ht="14.45" customHeight="1">
      <c r="A8" s="253"/>
      <c r="B8" s="307" t="s">
        <v>23</v>
      </c>
      <c r="C8" s="258" t="s">
        <v>258</v>
      </c>
      <c r="D8" s="275"/>
      <c r="E8" s="298"/>
      <c r="F8" s="321" t="s">
        <v>17</v>
      </c>
      <c r="G8" s="638" t="str" cm="1">
        <f t="array" ref="G8">_xlfn.LET(
  _xlpm.тип, H8,
  _xlpm.кочани, C10,
  _xlpm.пачки, _xlfn.CEILING.MATH(_xlpm.кочани / 20),
  _xlpm.цена_стандарт, MAX(0.75, MIN(15, _xlpm.пачки * 0.5)),
  _xlpm.цена_други, MAX(2.5, MIN(30, _xlpm.пачки * 1.5)),
  _xlfn.SWITCH(_xlpm.тип,
    "стандарт", _xlpm.цена_стандарт,
    "други", _xlpm.цена_други,
    "не", "",
    ""
  )
)</f>
        <v/>
      </c>
      <c r="H8" s="85" t="s">
        <v>258</v>
      </c>
      <c r="I8" s="287"/>
      <c r="J8" s="275"/>
      <c r="K8" s="275"/>
      <c r="L8" s="275"/>
      <c r="M8" s="275"/>
    </row>
    <row r="9" spans="1:23" ht="14.45" customHeight="1">
      <c r="A9" s="249"/>
      <c r="B9" s="255" t="s">
        <v>25</v>
      </c>
      <c r="C9" s="363" t="s">
        <v>258</v>
      </c>
      <c r="D9" s="275"/>
      <c r="E9" s="322"/>
      <c r="F9" s="317" t="s">
        <v>48</v>
      </c>
      <c r="G9" s="575" t="str" cm="1">
        <f t="array" ref="G9">_xlfn.SWITCH(H9,"да",(0.01*C14)*C12+10.23,"+",(0.007*C14)+10.23,"")</f>
        <v/>
      </c>
      <c r="H9" s="284" t="s">
        <v>258</v>
      </c>
      <c r="I9" s="285"/>
      <c r="J9" s="286"/>
      <c r="K9" s="287"/>
      <c r="L9" s="275"/>
      <c r="M9" s="275"/>
    </row>
    <row r="10" spans="1:23" ht="14.45" customHeight="1">
      <c r="A10" s="505" t="str">
        <f>IF(B10="книжки",C11/4,IF(C11="","",""))</f>
        <v/>
      </c>
      <c r="B10" s="504" t="s">
        <v>131</v>
      </c>
      <c r="C10" s="258" t="s">
        <v>258</v>
      </c>
      <c r="D10" s="275"/>
      <c r="E10" s="298"/>
      <c r="F10" s="321" t="s">
        <v>73</v>
      </c>
      <c r="G10" s="576" t="str">
        <f>IF(H10="+",10.23+(2.7*H6)*1.8,IF(H10="без","",IF(H10="","",IF(AND(H10,"да",C14&gt;1000),10.23+H6*C12+2,10.23))))</f>
        <v/>
      </c>
      <c r="H10" s="288" t="s">
        <v>258</v>
      </c>
      <c r="I10" s="287"/>
      <c r="J10" s="275"/>
      <c r="K10" s="275"/>
      <c r="L10" s="275"/>
      <c r="M10" s="275"/>
    </row>
    <row r="11" spans="1:23" ht="14.45" customHeight="1">
      <c r="A11" s="257"/>
      <c r="B11" s="379" t="s">
        <v>225</v>
      </c>
      <c r="C11" s="246" t="s">
        <v>258</v>
      </c>
      <c r="D11" s="275"/>
      <c r="E11" s="317"/>
      <c r="F11" s="317" t="s">
        <v>29</v>
      </c>
      <c r="G11" s="577" t="s">
        <v>258</v>
      </c>
      <c r="H11" s="289"/>
      <c r="I11" s="276"/>
      <c r="J11" s="276"/>
      <c r="K11" s="276"/>
      <c r="L11" s="276"/>
      <c r="M11" s="275"/>
    </row>
    <row r="12" spans="1:23" ht="14.45" customHeight="1">
      <c r="A12" s="253"/>
      <c r="B12" s="244" t="s">
        <v>163</v>
      </c>
      <c r="C12" s="309" t="s">
        <v>258</v>
      </c>
      <c r="D12" s="275"/>
      <c r="E12" s="298"/>
      <c r="F12" s="321" t="s">
        <v>32</v>
      </c>
      <c r="G12" s="576" t="str">
        <f>IF(H12="без","",IF(H12="","",IF(AND(H12&gt;=1,C10*H12&lt;=1000),(C10+40)*0.005*C10,MROUND((C10+40)*0.09*H12,0.5))))</f>
        <v/>
      </c>
      <c r="H12" s="273" t="s">
        <v>258</v>
      </c>
      <c r="I12" s="290"/>
      <c r="J12" s="291"/>
      <c r="K12" s="292"/>
      <c r="L12" s="276"/>
      <c r="M12" s="275"/>
    </row>
    <row r="13" spans="1:23" ht="14.45" customHeight="1">
      <c r="A13" s="253"/>
      <c r="B13" s="245" t="s">
        <v>6</v>
      </c>
      <c r="C13" s="310" t="str">
        <f>IFERROR(C10*C11,"")</f>
        <v/>
      </c>
      <c r="D13" s="275"/>
      <c r="E13" s="316"/>
      <c r="F13" s="317" t="s">
        <v>44</v>
      </c>
      <c r="G13" s="578" t="str" cm="1">
        <f t="array" ref="G13">_xlfn.LET(_xlpm.тип, H13,_xlpm.тираж, C13,_xlpm.тираж_база, C14,_xlpm.цена_лепене, _xlfn.XLOOKUP(_xlpm.тип, Таблица2[лепене], Таблица2[леп/цена €], 0),_xlpm.сметка_I13, IF(_xlpm.тираж_база &gt; 1000, 0.1 * (_xlpm.тираж_база / 100), 1.5),_xlfn.SWITCH(_xlpm.тип,
"без", "", "кубчета", _xlpm.сметка_I13,"каширане", (_xlpm.тираж * _xlpm.цена_лепене) + 7.67, IF(_xlpm.цена_лепене &gt; 0, _xlpm.тираж * _xlpm.цена_лепене, _xlpm.сметка_I13)))</f>
        <v/>
      </c>
      <c r="H13" s="34" t="s">
        <v>39</v>
      </c>
      <c r="I13" s="290"/>
      <c r="J13" s="275"/>
      <c r="K13" s="275"/>
      <c r="L13" s="275"/>
      <c r="M13" s="275"/>
    </row>
    <row r="14" spans="1:23" ht="14.45" customHeight="1">
      <c r="A14" s="249"/>
      <c r="B14" s="260" t="s">
        <v>164</v>
      </c>
      <c r="C14" s="404" t="str">
        <f>IFERROR(ROUNDUP(C13/C5,0),"")</f>
        <v/>
      </c>
      <c r="D14" s="275"/>
      <c r="E14" s="323"/>
      <c r="F14" s="319" t="s">
        <v>41</v>
      </c>
      <c r="G14" s="579" t="str">
        <f>IFERROR(IF(H14&lt;&gt;"без",ROUNDUP(C10*0.005*H14,0),""),"")</f>
        <v/>
      </c>
      <c r="H14" s="33" t="s">
        <v>258</v>
      </c>
      <c r="I14" s="293" t="s">
        <v>157</v>
      </c>
      <c r="J14" s="275"/>
      <c r="K14" s="275"/>
      <c r="L14" s="287"/>
      <c r="M14" s="275"/>
    </row>
    <row r="15" spans="1:23" ht="14.45" customHeight="1">
      <c r="A15" s="259"/>
      <c r="B15" s="398" t="str">
        <f>TEXT("от "  &amp; C3,"0х0 см" )&amp; " тираж. листа"</f>
        <v>от f.64x90 тираж. листа</v>
      </c>
      <c r="C15" s="311" t="str">
        <f>IFERROR(_xlfn.XLOOKUP(C4,таб_Цял_Лист[формати/печат],таб_Цял_Лист[тираж. Листа от лист]),"")</f>
        <v/>
      </c>
      <c r="D15" s="275"/>
      <c r="E15" s="320"/>
      <c r="F15" s="317" t="s">
        <v>83</v>
      </c>
      <c r="G15" s="575" t="str">
        <f>IF(H15="ръчно",C14/1000*C12*1.53,IF(H15="машинно",C14*0.0035*C12,""))</f>
        <v/>
      </c>
      <c r="H15" s="273" t="s">
        <v>258</v>
      </c>
      <c r="I15" s="294"/>
      <c r="J15" s="295"/>
      <c r="K15" s="296"/>
      <c r="L15" s="287"/>
      <c r="M15" s="275"/>
    </row>
    <row r="16" spans="1:23" ht="18" customHeight="1">
      <c r="A16" s="396" t="e">
        <f>IF(C10&lt;=10, (C7+C8)*5 + CEILING(C14*0.1, 1), IF(AND(C10&lt;=500, C7+C8&lt;4), (C7+C8)*25 + MROUND(C14*0.05, 5), (C7+C8)*30 + MROUND(C14*0.08, 5)))</f>
        <v>#VALUE!</v>
      </c>
      <c r="B16" s="260" t="s">
        <v>85</v>
      </c>
      <c r="C16" s="390" t="str">
        <f>IFERROR(C14+A16,"")</f>
        <v/>
      </c>
      <c r="D16" s="275"/>
      <c r="E16" s="860" t="s">
        <v>306</v>
      </c>
      <c r="F16" s="861"/>
      <c r="G16" s="580" t="str">
        <f>_xlfn.LET(_xlpm.вариант, H16, _xlpm.тир, C14,_xlpm.ед_бр, C10, _xlpm.разм, C5, _xlpm.лимит, 2,_xlpm.подготовка, IF(OR(_xlpm.вариант="да", _xlpm.вариант="&lt;1000"), MROUND(_xlpm.тир, 1000)/1000 * 2, 0), _xlpm.сметка_пакетиране, _xlfn.SWITCH(_xlpm.вариант,  "да", IF(AND(_xlpm.тир &gt;= 500, _xlpm.разм &gt; 2), MROUND(_xlpm.тир, 1000)/1000 * 1.5, MROUND(_xlpm.тир, 100)/2500 * 2.56),  "&lt;1000", (MROUND(_xlpm.тир, 100)/100 * 0.5) + (_xlfn.FLOOR.PRECISE(_xlpm.ед_бр, 100)/100 * 0.4),0 ),  IF(_xlpm.вариант="не", "", MAX(2, _xlpm.подготовка + MIN(_xlpm.сметка_пакетиране, _xlpm.лимит))))</f>
        <v/>
      </c>
      <c r="H16" s="33" t="s">
        <v>34</v>
      </c>
      <c r="I16" s="297"/>
      <c r="J16" s="291"/>
      <c r="K16" s="297"/>
      <c r="L16" s="287"/>
      <c r="M16" s="489"/>
    </row>
    <row r="17" spans="1:23" ht="14.45" customHeight="1">
      <c r="A17" s="253"/>
      <c r="B17" s="245" t="s">
        <v>165</v>
      </c>
      <c r="C17" s="793" t="str">
        <f>IFERROR(IF(C7&gt;0,MROUND(C16/C15,5),""),"")</f>
        <v/>
      </c>
      <c r="D17" s="275"/>
      <c r="E17" s="324"/>
      <c r="F17" s="325" t="s">
        <v>168</v>
      </c>
      <c r="G17" s="581" t="s">
        <v>258</v>
      </c>
      <c r="H17" s="298"/>
      <c r="I17" s="275"/>
      <c r="J17" s="275"/>
      <c r="K17" s="287"/>
      <c r="L17" s="299"/>
      <c r="M17" s="275"/>
    </row>
    <row r="18" spans="1:23" ht="14.45" customHeight="1">
      <c r="A18" s="249"/>
      <c r="B18" s="260" t="s">
        <v>167</v>
      </c>
      <c r="C18" s="312" t="str">
        <f>IFERROR(C17/500,"")</f>
        <v/>
      </c>
      <c r="D18" s="275"/>
      <c r="E18" s="298"/>
      <c r="F18" s="326" t="s">
        <v>170</v>
      </c>
      <c r="G18" s="582" t="str">
        <f>IFERROR(IF(AND(C8&gt;0,C9="не"),VLOOKUP(H18,montaj[#All],2)*2*C5,VLOOKUP(H18,montaj[#All],2)*C5),"")</f>
        <v/>
      </c>
      <c r="H18" s="300" t="s">
        <v>39</v>
      </c>
      <c r="I18" s="496"/>
      <c r="J18" s="497"/>
      <c r="K18" s="287"/>
      <c r="L18" s="275"/>
      <c r="M18" s="275"/>
      <c r="S18" s="243" t="s">
        <v>137</v>
      </c>
    </row>
    <row r="19" spans="1:23" ht="14.45" customHeight="1">
      <c r="B19" s="275"/>
      <c r="C19" s="275"/>
      <c r="D19" s="275"/>
      <c r="E19" s="320"/>
      <c r="F19" s="327" t="s">
        <v>180</v>
      </c>
      <c r="G19" s="583" t="str" cm="1">
        <f t="array" ref="G19">IF(J19="", "", _xlfn.LET(_xlpm.материал, H19, _xlpm.листа, J19, _xlpm.цена_ед, _xlfn.SWITCH(_xlpm.материал, "вестник", 0.028, "картон", 0.3, 0), _xlfn.CEILING.MATH(_xlpm.листа * _xlpm.цена_ед, 0.5)))</f>
        <v/>
      </c>
      <c r="H19" s="301" t="s">
        <v>39</v>
      </c>
      <c r="I19" s="302" t="str">
        <f>IFERROR(_xlfn.FLOOR.PRECISE(C14/C11,1),"")</f>
        <v/>
      </c>
      <c r="J19" s="395" t="str">
        <f>IFERROR(ROUNDUP(I19/C15,0),"")</f>
        <v/>
      </c>
      <c r="K19" s="329" t="s">
        <v>182</v>
      </c>
      <c r="M19" s="303"/>
    </row>
    <row r="20" spans="1:23" ht="14.45" customHeight="1">
      <c r="A20" s="275"/>
      <c r="E20" s="190"/>
      <c r="F20" s="328" t="s">
        <v>197</v>
      </c>
      <c r="G20" s="584" t="str" cm="1">
        <f t="array" ref="G20">IF(C17="","",_xlfn.LET(_xlpm.тип,H20,_xlpm.база_доставка,C17,_xlpm.надбавка,5,_xlpm.цена_доставка,IF(AND(_xlpm.тип="да",_xlpm.база_доставка&lt;=1000),2.7,1.53+(_xlpm.база_доставка/1500)*1.53),_xlfn.SWITCH(_xlpm.тип,"не","","да",_xlpm.цена_доставка,"доставка+",_xlpm.цена_доставка+_xlpm.надбавка,"")))</f>
        <v/>
      </c>
      <c r="H20" s="33" t="s">
        <v>34</v>
      </c>
      <c r="I20" s="275"/>
      <c r="M20" s="275"/>
    </row>
    <row r="21" spans="1:23" ht="14.45" customHeight="1">
      <c r="E21" s="320"/>
      <c r="F21" s="327" t="s">
        <v>240</v>
      </c>
      <c r="G21" s="583">
        <f>IF(H21&gt;0,ROUNDUP(SUM(G4:G6,G8:G17,G19),0)*H21%,0)</f>
        <v>0</v>
      </c>
      <c r="H21" s="210">
        <v>40</v>
      </c>
      <c r="I21" s="87" t="s">
        <v>183</v>
      </c>
      <c r="J21" s="673" t="str">
        <f>IF(H21&lt;&gt;40, "⚠️ ВНИМАНИЕ: Процентът е променен!", "")</f>
        <v/>
      </c>
      <c r="K21" s="256"/>
      <c r="L21" s="256"/>
    </row>
    <row r="22" spans="1:23" ht="14.45" customHeight="1">
      <c r="E22" s="313"/>
    </row>
    <row r="23" spans="1:23" ht="14.45" customHeight="1">
      <c r="A23" s="262"/>
      <c r="B23" s="262"/>
      <c r="C23" s="262"/>
      <c r="D23" s="262"/>
      <c r="E23" s="313"/>
      <c r="L23" s="261"/>
      <c r="M23" s="262"/>
      <c r="N23" s="262"/>
      <c r="O23" s="262"/>
      <c r="P23" s="262"/>
      <c r="Q23" s="262"/>
      <c r="R23" s="263"/>
    </row>
    <row r="24" spans="1:23" ht="14.45" customHeight="1">
      <c r="E24" s="275"/>
      <c r="F24" s="314" t="s">
        <v>14</v>
      </c>
      <c r="G24" s="551">
        <f>ROUNDUP(SUM(G3:G$21),1)</f>
        <v>0</v>
      </c>
      <c r="H24" s="639">
        <f>ROUNDUP(G24*1.95583,1)</f>
        <v>0</v>
      </c>
      <c r="I24" s="263"/>
      <c r="L24" s="264"/>
      <c r="R24" s="265"/>
    </row>
    <row r="25" spans="1:23" ht="14.45" customHeight="1" thickBot="1">
      <c r="A25" s="262"/>
      <c r="B25" s="262"/>
      <c r="C25" s="262"/>
      <c r="D25" s="262"/>
      <c r="E25" s="262"/>
      <c r="F25" s="315" t="s">
        <v>87</v>
      </c>
      <c r="G25" s="552" t="str">
        <f>IFERROR(G24/C10,"")</f>
        <v/>
      </c>
      <c r="H25" s="262"/>
      <c r="I25" s="263"/>
      <c r="J25" s="262"/>
      <c r="K25" s="262"/>
      <c r="L25" s="261"/>
      <c r="M25" s="262"/>
      <c r="N25" s="262"/>
      <c r="O25" s="262"/>
      <c r="P25" s="262"/>
      <c r="Q25" s="262"/>
      <c r="R25" s="263"/>
      <c r="S25" s="262"/>
      <c r="T25" s="262"/>
      <c r="U25" s="262"/>
      <c r="V25" s="262"/>
      <c r="W25" s="263"/>
    </row>
    <row r="26" spans="1:23" ht="14.45" customHeight="1" thickTop="1">
      <c r="F26" s="308" t="s">
        <v>158</v>
      </c>
      <c r="G26" s="553">
        <f>IFERROR(G24-G27,"")</f>
        <v>0</v>
      </c>
      <c r="H26" s="264"/>
      <c r="I26" s="265"/>
      <c r="L26" s="264"/>
      <c r="R26" s="265"/>
      <c r="W26" s="265"/>
    </row>
    <row r="27" spans="1:23" ht="14.45" customHeight="1">
      <c r="B27" s="549">
        <v>186</v>
      </c>
      <c r="C27" s="548">
        <f>B27*C28</f>
        <v>363.78438</v>
      </c>
      <c r="D27"/>
      <c r="F27" s="266" t="s">
        <v>159</v>
      </c>
      <c r="G27" s="554">
        <f>IFERROR(SUM(G3,G17,G19,G20) + IF(AND(ISNUMBER(G7), G7&gt;0),I7*2.45, 0), 0)</f>
        <v>0</v>
      </c>
      <c r="H27" s="267"/>
      <c r="L27" s="264"/>
      <c r="R27" s="265"/>
      <c r="W27" s="265"/>
    </row>
    <row r="28" spans="1:23" ht="14.45" customHeight="1">
      <c r="B28" s="539" t="s">
        <v>261</v>
      </c>
      <c r="C28" s="350">
        <v>1.95583</v>
      </c>
      <c r="D28" s="538" t="s">
        <v>262</v>
      </c>
      <c r="L28" s="264"/>
      <c r="R28" s="265"/>
      <c r="W28" s="265"/>
    </row>
    <row r="29" spans="1:23" ht="14.45" customHeight="1">
      <c r="B29" s="550">
        <v>3.5</v>
      </c>
      <c r="C29" s="540">
        <f>B29/C28</f>
        <v>1.7895215841867647</v>
      </c>
      <c r="D29"/>
      <c r="L29" s="264"/>
      <c r="R29" s="265"/>
      <c r="W29" s="265"/>
    </row>
    <row r="30" spans="1:23" ht="14.45" customHeight="1">
      <c r="B30" s="261"/>
      <c r="C30" s="270"/>
      <c r="D30" s="262"/>
      <c r="E30" s="262"/>
      <c r="J30" s="262"/>
      <c r="K30" s="262"/>
      <c r="L30" s="262"/>
      <c r="M30" s="262"/>
      <c r="N30" s="262"/>
      <c r="O30" s="262"/>
      <c r="P30" s="262"/>
      <c r="Q30" s="262"/>
      <c r="R30" s="262"/>
      <c r="S30" s="263"/>
      <c r="W30" s="265"/>
    </row>
    <row r="31" spans="1:23" ht="14.45" customHeight="1">
      <c r="B31" s="264"/>
      <c r="C31" s="271"/>
      <c r="S31" s="265"/>
      <c r="W31" s="265"/>
    </row>
    <row r="32" spans="1:23" ht="14.45" customHeight="1">
      <c r="B32" s="268"/>
      <c r="C32" s="272"/>
      <c r="D32" s="272"/>
      <c r="E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69"/>
      <c r="W32" s="265"/>
    </row>
    <row r="33" spans="2:23" ht="14.45" customHeight="1">
      <c r="B33" s="268"/>
      <c r="E33" s="272"/>
      <c r="F33" s="272"/>
      <c r="G33" s="272"/>
      <c r="H33" s="272"/>
      <c r="I33" s="272"/>
      <c r="J33" s="272"/>
      <c r="K33" s="272"/>
      <c r="L33" s="272"/>
      <c r="M33" s="272"/>
      <c r="N33" s="272"/>
      <c r="O33" s="272"/>
      <c r="P33" s="272"/>
      <c r="Q33" s="272"/>
      <c r="R33" s="272"/>
      <c r="S33" s="272"/>
      <c r="T33" s="272"/>
      <c r="U33" s="272"/>
      <c r="V33" s="272"/>
      <c r="W33" s="269"/>
    </row>
    <row r="34" spans="2:23" ht="14.45" customHeight="1">
      <c r="B34" s="701" t="s">
        <v>99</v>
      </c>
      <c r="C34" s="704">
        <v>214</v>
      </c>
    </row>
    <row r="35" spans="2:23" ht="14.45" customHeight="1">
      <c r="C35" s="704">
        <v>152</v>
      </c>
    </row>
    <row r="36" spans="2:23" ht="14.45" customHeight="1">
      <c r="B36" s="701" t="s">
        <v>217</v>
      </c>
      <c r="C36" s="755" t="str" cm="1">
        <f t="array" ref="C36">IF(C3="плаки",PlakiCalculate(C34,C35),SmartCalculate(C4,C34,C35,C9,C37))</f>
        <v>Грешен формат!</v>
      </c>
    </row>
    <row r="37" spans="2:23" ht="14.45" customHeight="1">
      <c r="B37" s="755" t="s">
        <v>307</v>
      </c>
      <c r="C37" s="756" t="s">
        <v>34</v>
      </c>
    </row>
  </sheetData>
  <dataConsolidate/>
  <mergeCells count="5">
    <mergeCell ref="E2:F2"/>
    <mergeCell ref="E4:F4"/>
    <mergeCell ref="E5:F5"/>
    <mergeCell ref="E16:F16"/>
    <mergeCell ref="A1:C1"/>
  </mergeCells>
  <conditionalFormatting sqref="H5">
    <cfRule type="cellIs" dxfId="9" priority="7" operator="equal">
      <formula>$C$7</formula>
    </cfRule>
  </conditionalFormatting>
  <conditionalFormatting sqref="C11">
    <cfRule type="expression" dxfId="8" priority="3">
      <formula>$B$10="книжки"</formula>
    </cfRule>
    <cfRule type="dataBar" priority="6">
      <dataBar>
        <cfvo type="num" val="10"/>
        <cfvo type="num" val="150"/>
        <color theme="9" tint="-0.249977111117893"/>
      </dataBar>
      <extLst>
        <ext xmlns:x14="http://schemas.microsoft.com/office/spreadsheetml/2009/9/main" uri="{B025F937-C7B1-47D3-B67F-A62EFF666E3E}">
          <x14:id>{0AADA715-58E7-4B64-8532-E72E1A4962F0}</x14:id>
        </ext>
      </extLst>
    </cfRule>
  </conditionalFormatting>
  <conditionalFormatting sqref="C3">
    <cfRule type="expression" dxfId="7" priority="5">
      <formula>SEARCH($C$3,"Hymiya")</formula>
    </cfRule>
  </conditionalFormatting>
  <conditionalFormatting sqref="A3">
    <cfRule type="expression" dxfId="6" priority="4">
      <formula>SEARCH($C$3,"Hymiya")</formula>
    </cfRule>
  </conditionalFormatting>
  <conditionalFormatting sqref="H21">
    <cfRule type="expression" dxfId="5" priority="1">
      <formula>$H$21&lt;&gt;40</formula>
    </cfRule>
  </conditionalFormatting>
  <dataValidations xWindow="256" yWindow="310" count="24">
    <dataValidation type="list" allowBlank="1" showInputMessage="1" showErrorMessage="1" sqref="C8" xr:uid="{00000000-0002-0000-0100-000000000000}">
      <formula1>"0,1,2,3,4,5,6,7,8,"</formula1>
    </dataValidation>
    <dataValidation type="list" allowBlank="1" showInputMessage="1" showErrorMessage="1" sqref="C7" xr:uid="{00000000-0002-0000-0100-000001000000}">
      <formula1>"1,2,3,4,5,6,7,8,"</formula1>
    </dataValidation>
    <dataValidation type="list" allowBlank="1" showInputMessage="1" showErrorMessage="1" sqref="C6" xr:uid="{00000000-0002-0000-0100-000002000000}">
      <formula1>"a3,a4,a5,a6"</formula1>
    </dataValidation>
    <dataValidation showInputMessage="1" showErrorMessage="1" prompt="цена без ддс" sqref="H3" xr:uid="{00000000-0002-0000-0100-000003000000}"/>
    <dataValidation type="list" allowBlank="1" showInputMessage="1" showErrorMessage="1" sqref="C3" xr:uid="{00000000-0002-0000-0100-000004000000}">
      <formula1>formati</formula1>
    </dataValidation>
    <dataValidation type="list" allowBlank="1" showInputMessage="1" showErrorMessage="1" prompt="провери дали размера се отнася за химия или 61х86" sqref="C4" xr:uid="{00000000-0002-0000-0100-000005000000}">
      <formula1>INDIRECT($C$3)</formula1>
    </dataValidation>
    <dataValidation type="list" allowBlank="1" showInputMessage="1" showErrorMessage="1" sqref="B10" xr:uid="{00000000-0002-0000-0100-000006000000}">
      <formula1>"кочани,книжки"</formula1>
    </dataValidation>
    <dataValidation type="list" allowBlank="1" showInputMessage="1" showErrorMessage="1" prompt="брой листа при химия" sqref="C12" xr:uid="{00000000-0002-0000-0100-000007000000}">
      <formula1>"1,2,3,4,5,6,7,14"</formula1>
    </dataValidation>
    <dataValidation type="list" allowBlank="1" showInputMessage="1" showErrorMessage="1" sqref="H16" xr:uid="{00000000-0002-0000-0100-000008000000}">
      <formula1>"да,не,&lt;1000"</formula1>
    </dataValidation>
    <dataValidation type="list" allowBlank="1" showInputMessage="1" showErrorMessage="1" sqref="H7" xr:uid="{00000000-0002-0000-0100-000009000000}">
      <formula1>"от клиент,да,всеки цвят отд."</formula1>
    </dataValidation>
    <dataValidation type="list" allowBlank="1" showInputMessage="1" showErrorMessage="1" prompt="номерация:_x000a_- стандарт - 0,001 лв_x000a_- + номер. - повече номератори - 0,002" sqref="H9" xr:uid="{00000000-0002-0000-0100-00000A000000}">
      <formula1>"без,да,+"</formula1>
    </dataValidation>
    <dataValidation type="list" allowBlank="1" showInputMessage="1" showErrorMessage="1" prompt="набор химизирана" sqref="H15" xr:uid="{00000000-0002-0000-0100-00000B000000}">
      <formula1>"без,машинно,ръчно"</formula1>
    </dataValidation>
    <dataValidation type="list" allowBlank="1" showInputMessage="1" showErrorMessage="1" sqref="H14" xr:uid="{00000000-0002-0000-0100-00000C000000}">
      <formula1>"без,1,2,3,4,5"</formula1>
    </dataValidation>
    <dataValidation type="list" errorStyle="information" allowBlank="1" showInputMessage="1" showErrorMessage="1" prompt="избери" sqref="H8" xr:uid="{00000000-0002-0000-0100-00000D000000}">
      <formula1>"стандарт,други,без"</formula1>
    </dataValidation>
    <dataValidation type="list" allowBlank="1" showInputMessage="1" showErrorMessage="1" prompt="биговане_x000a_1 биг_x000a_2 бига_x000a_3 бига_x000a_4 бига" sqref="H12" xr:uid="{00000000-0002-0000-0100-00000E000000}">
      <formula1>"без,1,2,3,4,5,6"</formula1>
    </dataValidation>
    <dataValidation type="list" errorStyle="warning" allowBlank="1" showInputMessage="1" showErrorMessage="1" prompt="ддс" sqref="I3" xr:uid="{00000000-0002-0000-0100-00000F000000}">
      <formula1>"със,без"</formula1>
    </dataValidation>
    <dataValidation type="list" allowBlank="1" showInputMessage="1" showErrorMessage="1" prompt="лепене" sqref="H13" xr:uid="{00000000-0002-0000-0100-000010000000}">
      <formula1>lepene</formula1>
    </dataValidation>
    <dataValidation type="list" allowBlank="1" showInputMessage="1" showErrorMessage="1" sqref="H18" xr:uid="{00000000-0002-0000-0100-000011000000}">
      <formula1>el.montaj</formula1>
    </dataValidation>
    <dataValidation type="list" allowBlank="1" showInputMessage="1" showErrorMessage="1" sqref="H19" xr:uid="{00000000-0002-0000-0100-000012000000}">
      <formula1>"без,вестник,картон"</formula1>
    </dataValidation>
    <dataValidation type="list" allowBlank="1" showInputMessage="1" showErrorMessage="1" sqref="H10" xr:uid="{00000000-0002-0000-0100-000013000000}">
      <formula1>"без,да,+"</formula1>
    </dataValidation>
    <dataValidation type="list" allowBlank="1" showInputMessage="1" showErrorMessage="1" prompt="транспорт за хартия" sqref="H20" xr:uid="{00000000-0002-0000-0100-000014000000}">
      <formula1>"да,не,доставка+"</formula1>
    </dataValidation>
    <dataValidation type="whole" allowBlank="1" showInputMessage="1" showErrorMessage="1" prompt="брой листа от един цвят_x000a_33_x000a_50_x000a_100" sqref="C11" xr:uid="{2F0ABCD7-243D-4107-A5AA-158DB7F773BB}">
      <formula1>1</formula1>
      <formula2>1000</formula2>
    </dataValidation>
    <dataValidation type="decimal" errorStyle="information" operator="greaterThanOrEqual" allowBlank="1" showInputMessage="1" showErrorMessage="1" prompt="Въведи % оскъпяване или остави 0" sqref="H21" xr:uid="{C644D32D-F0E0-4436-B6D4-DCA2A104C831}">
      <formula1>0</formula1>
    </dataValidation>
    <dataValidation type="list" allowBlank="1" showInputMessage="1" showErrorMessage="1" sqref="C37" xr:uid="{9F7ADBED-D04B-483A-9CFA-CD054BFF4E74}">
      <formula1>"да,не,"</formula1>
    </dataValidation>
  </dataValidations>
  <pageMargins left="0.25" right="0.25" top="0.75" bottom="0.75" header="0.3" footer="0.3"/>
  <pageSetup paperSize="9" scale="94" orientation="landscape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ADA715-58E7-4B64-8532-E72E1A4962F0}">
            <x14:dataBar minLength="0" maxLength="100" gradient="0">
              <x14:cfvo type="num">
                <xm:f>10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m:sqref>C11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56" yWindow="310" count="1">
        <x14:dataValidation type="list" allowBlank="1" showInputMessage="1" showErrorMessage="1" xr:uid="{00000000-0002-0000-0100-000016000000}">
          <x14:formula1>
            <xm:f>довърш.!$C$5:$C$8</xm:f>
          </x14:formula1>
          <xm:sqref>C9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tabColor theme="7" tint="0.39997558519241921"/>
  </sheetPr>
  <dimension ref="A1:X41"/>
  <sheetViews>
    <sheetView showGridLines="0" zoomScaleNormal="100" workbookViewId="0">
      <selection activeCell="C10" sqref="C10"/>
    </sheetView>
  </sheetViews>
  <sheetFormatPr defaultColWidth="9.140625" defaultRowHeight="14.25"/>
  <cols>
    <col min="1" max="1" width="5" style="11" customWidth="1"/>
    <col min="2" max="2" width="21.28515625" style="11" customWidth="1"/>
    <col min="3" max="3" width="9.140625" style="11"/>
    <col min="4" max="4" width="5.28515625" style="11" customWidth="1"/>
    <col min="5" max="5" width="3.85546875" style="11" customWidth="1"/>
    <col min="6" max="6" width="10.28515625" style="11" customWidth="1"/>
    <col min="7" max="7" width="13.7109375" style="11" customWidth="1"/>
    <col min="8" max="8" width="9.28515625" style="11" customWidth="1"/>
    <col min="9" max="9" width="7.85546875" style="11" customWidth="1"/>
    <col min="10" max="10" width="7.5703125" style="11" customWidth="1"/>
    <col min="11" max="11" width="7.7109375" style="11" customWidth="1"/>
    <col min="12" max="12" width="9.28515625" style="11" customWidth="1"/>
    <col min="13" max="13" width="5.7109375" style="11" customWidth="1"/>
    <col min="14" max="14" width="4.85546875" style="11" customWidth="1"/>
    <col min="15" max="20" width="9.140625" style="11"/>
    <col min="21" max="24" width="9.140625" style="97"/>
    <col min="25" max="16384" width="9.140625" style="11"/>
  </cols>
  <sheetData>
    <row r="1" spans="1:19">
      <c r="C1" s="161" t="s">
        <v>28</v>
      </c>
      <c r="G1" s="98" t="s">
        <v>10</v>
      </c>
      <c r="H1" s="99" t="s">
        <v>28</v>
      </c>
    </row>
    <row r="2" spans="1:19">
      <c r="C2" s="100"/>
      <c r="E2" s="863"/>
      <c r="F2" s="863"/>
      <c r="H2" s="101" t="s">
        <v>15</v>
      </c>
      <c r="I2" s="102" t="s">
        <v>27</v>
      </c>
      <c r="N2" s="103"/>
      <c r="R2" s="97"/>
      <c r="S2" s="97"/>
    </row>
    <row r="3" spans="1:19">
      <c r="A3" s="122"/>
      <c r="B3" s="123" t="s">
        <v>0</v>
      </c>
      <c r="C3" s="124" t="s">
        <v>214</v>
      </c>
      <c r="F3" s="512" t="s">
        <v>11</v>
      </c>
      <c r="G3" s="601">
        <f>IF(I3="със",C16*H3*1.2,IF(I3="без",C16*(H3),""))</f>
        <v>142.80000000000001</v>
      </c>
      <c r="H3" s="620">
        <v>8.5000000000000006E-2</v>
      </c>
      <c r="I3" s="147" t="s">
        <v>39</v>
      </c>
      <c r="J3" s="97"/>
      <c r="K3" s="97"/>
      <c r="L3" s="97"/>
      <c r="M3" s="97"/>
      <c r="N3" s="103"/>
    </row>
    <row r="4" spans="1:19">
      <c r="A4" s="125"/>
      <c r="B4" s="126" t="s">
        <v>2</v>
      </c>
      <c r="C4" s="127" t="s">
        <v>5</v>
      </c>
      <c r="E4" s="865" t="s">
        <v>19</v>
      </c>
      <c r="F4" s="865"/>
      <c r="G4" s="602" cm="1">
        <f t="array" ref="G4">_xlfn.LET(_xlpm.цена, довърш.!$G$4, _xlpm.цветове, C6 + C7,_xlpm.коли, C11,_xlpm.тип, C12, _xlpm.цена_с_закръгление, MROUND(_xlpm.коли, 0.25) * _xlpm.цена,_xlfn.SWITCH(_xlpm.тип,"да", _xlpm.цена * C6, "не", _xlpm.цена * _xlpm.коли * _xlpm.цветове, "½ с обръщ.", _xlpm.цена_с_закръгление * _xlpm.цветове, "¼ с обръщ.", _xlpm.цена_с_закръгление * _xlpm.цветове,"¾", _xlpm.цена * ROUNDUP(_xlpm.коли, 0) * _xlpm.цветове, ""))</f>
        <v>256</v>
      </c>
      <c r="H4" s="399">
        <f>довърш.!$G$4</f>
        <v>8</v>
      </c>
      <c r="I4" s="670"/>
      <c r="L4" s="97"/>
      <c r="M4" s="507"/>
      <c r="N4" s="103"/>
    </row>
    <row r="5" spans="1:19">
      <c r="A5" s="128"/>
      <c r="B5" s="129" t="s">
        <v>169</v>
      </c>
      <c r="C5" s="130" t="s">
        <v>311</v>
      </c>
      <c r="E5" s="864" t="s">
        <v>25</v>
      </c>
      <c r="F5" s="864"/>
      <c r="G5" s="601" t="str" cm="1">
        <f t="array" ref="G5">_xlfn.LET(_xlpm.тип, C12,_xlpm.тираж, C13, _xlpm.цветове_гръб, C7,_xlpm.база_цена, 2.7,_xlpm.цена_цвят, IF(_xlpm.тип="не", 0, _xlpm.база_цена * _xlpm.цветове_гръб),_xlpm.тираж_закр, _xlfn.FLOOR.PRECISE(_xlpm.тираж, 100),_xlpm.тираж_коригиран, _xlfn.SWITCH(_xlpm.тип, "½ с обръщ.", _xlpm.тираж_закр / 2, "¼ с обръщ.", _xlpm.тираж_закр / 2,"да", _xlpm.тираж_закр, "¾", _xlpm.тираж_закр,0 ),_xlpm.стойност_L5, MAX(1, _xlpm.тираж_коригиран / 1000) * _xlpm.цена_цвят,_xlpm.стойност_M5, MAX(1, _xlpm.тираж_закр / 1000) * _xlpm.цена_цвят,_xlfn.SWITCH(_xlpm.тип, "да", MROUND(_xlpm.стойност_M5, _xlpm.база_цена),"½ с обръщ.", MROUND(_xlpm.стойност_L5, _xlpm.база_цена), "¼ с обръщ.", MROUND(_xlpm.стойност_L5, _xlpm.база_цена), ""))</f>
        <v/>
      </c>
      <c r="H5" s="669" t="str">
        <f>C12</f>
        <v>не</v>
      </c>
    </row>
    <row r="6" spans="1:19">
      <c r="A6" s="125"/>
      <c r="B6" s="131" t="s">
        <v>24</v>
      </c>
      <c r="C6" s="127">
        <v>4</v>
      </c>
      <c r="E6" s="159"/>
      <c r="F6" s="160" t="s">
        <v>13</v>
      </c>
      <c r="G6" s="603">
        <f>IFERROR(2.81*H6,"")</f>
        <v>89.92</v>
      </c>
      <c r="H6" s="148" cm="1">
        <f t="array" ref="H6">IF(C12="", "", _xlfn.SWITCH(C12, "да", C6, "не", (C6+C7)*C11,"½ с обръщ.", (C6+C7)*C11, "¼ с обръщ.", (C6+C7)*MROUND(C11,0.5), "¾", (C6+C7)*MROUND(C11,0.5), "Грешен избор!"))</f>
        <v>32</v>
      </c>
      <c r="I6" s="149" t="s">
        <v>16</v>
      </c>
      <c r="J6" s="150"/>
      <c r="K6" s="97"/>
      <c r="L6" s="97"/>
      <c r="M6" s="97"/>
    </row>
    <row r="7" spans="1:19">
      <c r="A7" s="128"/>
      <c r="B7" s="132" t="s">
        <v>23</v>
      </c>
      <c r="C7" s="133">
        <v>4</v>
      </c>
      <c r="E7" s="159"/>
      <c r="F7" s="514" t="s">
        <v>161</v>
      </c>
      <c r="G7" s="604" cm="1">
        <f t="array" ref="G7">_xlfn.LET(_xlpm.тип, H7,_xlpm.тираж, C13,_xlpm.страници, C9,_xlpm.коли, C11,_xlpm.подготовка, 9,_xlpm.цена_на_1000_книжки, 5,_xlpm.оскъпяване_от_дебелина, IF(_xlpm.страници&gt;100, 1.5, 1),_xlpm.цена_стандарт, IF(_xlpm.тираж&lt;=1000, 1.53*_xlpm.коли, 0.151*(_xlpm.тираж/100)*_xlpm.коли),_xlpm.цена_3стр, _xlpm.подготовка + ((_xlpm.тираж/1000) * _xlpm.цена_на_1000_книжки * _xlpm.оскъпяване_от_дебелина),_xlfn.SWITCH(_xlpm.тип, "стандарт", _xlpm.цена_стандарт, "обряз.3стр.", MROUND(_xlpm.цена_3стр, 0.5), "без", 0, ""))</f>
        <v>0</v>
      </c>
      <c r="H7" s="511" t="s">
        <v>39</v>
      </c>
      <c r="I7" s="671"/>
      <c r="K7" s="158" cm="1">
        <f t="array" ref="K7">_xlfn.LET(_xlpm.тип, H7,_xlpm.тираж, C13,_xlpm.страници, C8,_xlpm.коли, C11,_xlpm.подготовка, 15,_xlpm.цена_на_1000_книжки, 5,_xlpm.оскъпяване_от_дебелина, IF(_xlpm.страници&gt;100, 1.5, 1),_xlpm.цена_стандарт, IF(_xlpm.тираж&lt;=1000, 1.53*_xlpm.коли, 0.151*(_xlpm.тираж/100)*_xlpm.коли),_xlpm.цена_3стр, _xlpm.подготовка + ((_xlpm.тираж/1000) * _xlpm.цена_на_1000_книжки * _xlpm.оскъпяване_от_дебелина),_xlfn.SWITCH(_xlpm.тип, "стандарт", _xlpm.цена_стандарт, "обряз.3стр.", MROUND(_xlpm.цена_3стр, 0.5), "без", 0, ""))</f>
        <v>0</v>
      </c>
    </row>
    <row r="8" spans="1:19">
      <c r="A8" s="125"/>
      <c r="B8" s="131" t="s">
        <v>6</v>
      </c>
      <c r="C8" s="533">
        <v>1500</v>
      </c>
      <c r="E8" s="159"/>
      <c r="F8" s="160" t="s">
        <v>26</v>
      </c>
      <c r="G8" s="605">
        <f>IFERROR(C11*C6*2.7*_xlfn.FLOOR.PRECISE(C13/1001, 1),"")</f>
        <v>43.2</v>
      </c>
      <c r="H8" s="241">
        <f>_xlfn.FLOOR.PRECISE(C13/1001,1)</f>
        <v>1</v>
      </c>
      <c r="L8" s="97"/>
      <c r="M8" s="97"/>
      <c r="N8" s="559"/>
    </row>
    <row r="9" spans="1:19">
      <c r="A9" s="122"/>
      <c r="B9" s="105" t="s">
        <v>9</v>
      </c>
      <c r="C9" s="663">
        <v>16</v>
      </c>
      <c r="E9" s="159"/>
      <c r="F9" s="512" t="s">
        <v>29</v>
      </c>
      <c r="G9" s="606">
        <v>55</v>
      </c>
      <c r="H9" s="152"/>
      <c r="I9" s="97"/>
      <c r="K9" s="97"/>
      <c r="L9" s="97"/>
      <c r="M9" s="97"/>
    </row>
    <row r="10" spans="1:19">
      <c r="A10" s="128"/>
      <c r="B10" s="330" t="s">
        <v>210</v>
      </c>
      <c r="C10" s="662">
        <v>2</v>
      </c>
      <c r="E10" s="159"/>
      <c r="F10" s="160" t="s">
        <v>51</v>
      </c>
      <c r="G10" s="607">
        <v>15</v>
      </c>
      <c r="H10" s="153"/>
      <c r="I10" s="150"/>
      <c r="J10" s="154"/>
      <c r="K10" s="97"/>
      <c r="L10" s="97"/>
      <c r="M10" s="97"/>
    </row>
    <row r="11" spans="1:19">
      <c r="A11" s="134">
        <f>C9/C10/2</f>
        <v>4</v>
      </c>
      <c r="B11" s="135" t="s">
        <v>8</v>
      </c>
      <c r="C11" s="667">
        <f>IFERROR(IF(A11&lt;1,1,IF(A11&gt;=1,C9/C10/2)),"")</f>
        <v>4</v>
      </c>
      <c r="E11" s="159"/>
      <c r="F11" s="512" t="s">
        <v>41</v>
      </c>
      <c r="G11" s="601">
        <f>IF(H11="без","",IF(AND(H11&lt;&gt;"без",C8&lt;=1000),ROUNDUP((C8+7.67)*0.0051*H11,0),MROUND((C8+7.67)*0.0051*H11+(2.7*_xlfn.FLOOR.PRECISE(C8*H11/1001,1)),1)))</f>
        <v>21</v>
      </c>
      <c r="H11" s="144">
        <v>2</v>
      </c>
      <c r="J11" s="150"/>
      <c r="K11" s="97"/>
      <c r="L11" s="97"/>
    </row>
    <row r="12" spans="1:19">
      <c r="A12" s="125"/>
      <c r="B12" s="136" t="s">
        <v>25</v>
      </c>
      <c r="C12" s="668" t="str" cm="1">
        <f t="array" ref="C12">IFERROR(IF(C11=0, "", _xlfn.SWITCH(ROUND(MOD(C11, 1), 2), 0, "не",0.25, "¼ с обръщ.", 0.5, "½ с обръщ.",0.75, "¾", "индивидуално")),"")</f>
        <v>не</v>
      </c>
      <c r="E12" s="159"/>
      <c r="F12" s="160" t="s">
        <v>43</v>
      </c>
      <c r="G12" s="608">
        <f>IF(H12="не","",IF(H12="машинно",C8*0.0036*I12,IF(H12="ръчно",ROUNDUP(C8*0.0051*I12,0),IF(H12="календари",C8*0.0018*I12,""))))</f>
        <v>23</v>
      </c>
      <c r="H12" s="235" t="s">
        <v>310</v>
      </c>
      <c r="I12" s="475">
        <v>3</v>
      </c>
      <c r="K12" s="97"/>
      <c r="L12" s="97"/>
      <c r="M12" s="97"/>
    </row>
    <row r="13" spans="1:19">
      <c r="A13" s="137"/>
      <c r="B13" s="138" t="s">
        <v>3</v>
      </c>
      <c r="C13" s="666">
        <f>IF(C12="да",C8/2,IF(C12&lt;&gt;"да",C8))</f>
        <v>1500</v>
      </c>
      <c r="E13" s="159"/>
      <c r="F13" s="512" t="s">
        <v>42</v>
      </c>
      <c r="G13" s="609">
        <f>_xlfn.SWITCH(I13,"без",0,"машинно",(C13+30)*0.0051*H13*C11,"ръчно",ROUNDUP((C13+40)*0.0013*I12*H13+IF(H13&gt;0,5.11,IF(H13=0,0)),0),"")</f>
        <v>12</v>
      </c>
      <c r="H13" s="476">
        <v>1</v>
      </c>
      <c r="I13" s="83" t="s">
        <v>310</v>
      </c>
      <c r="L13" s="97"/>
      <c r="M13" s="97"/>
      <c r="O13" s="96"/>
    </row>
    <row r="14" spans="1:19">
      <c r="A14" s="106"/>
      <c r="B14" s="139" t="str">
        <f>TEXT("от "  &amp; C3,"0х0 см" )&amp; " тираж. листа"</f>
        <v>от f.64x90 тираж. листа</v>
      </c>
      <c r="C14" s="665">
        <f>IFERROR(_xlfn.XLOOKUP(C4,таб_Цял_Лист[формати/печат],таб_Цял_Лист[тираж. Листа от лист]),"")</f>
        <v>4</v>
      </c>
      <c r="E14" s="516"/>
      <c r="F14" s="517" t="s">
        <v>256</v>
      </c>
      <c r="G14" s="610">
        <f>IF(H14="да",(C13+10)*0.00511,"")</f>
        <v>7.7161</v>
      </c>
      <c r="H14" s="214" t="s">
        <v>33</v>
      </c>
      <c r="I14" s="97"/>
      <c r="J14" s="215"/>
      <c r="K14" s="151"/>
      <c r="L14" s="97"/>
      <c r="M14" s="97"/>
    </row>
    <row r="15" spans="1:19" ht="15" customHeight="1">
      <c r="A15" s="122"/>
      <c r="B15" s="140" t="s">
        <v>212</v>
      </c>
      <c r="C15" s="664">
        <f>IF(C6=1,C13+40,IF(C6&gt;1,C13+40*C6,""))</f>
        <v>1660</v>
      </c>
      <c r="E15" s="107"/>
      <c r="F15" s="108" t="s">
        <v>170</v>
      </c>
      <c r="G15" s="611">
        <f>IF(C12&lt;&gt;"без",C9*VLOOKUP(H15,montaj[#All],2),"")</f>
        <v>0</v>
      </c>
      <c r="H15" s="145" t="s">
        <v>39</v>
      </c>
      <c r="I15" s="97"/>
      <c r="J15" s="151"/>
      <c r="K15" s="97"/>
      <c r="L15" s="97"/>
      <c r="M15" s="97"/>
    </row>
    <row r="16" spans="1:19">
      <c r="A16" s="141"/>
      <c r="B16" s="142" t="s">
        <v>4</v>
      </c>
      <c r="C16" s="534">
        <f>IFERROR(MROUND(C11,0.5)*(MROUND(C15/C14,10)),"")</f>
        <v>1680</v>
      </c>
      <c r="E16" s="109"/>
      <c r="F16" s="727" t="s">
        <v>48</v>
      </c>
      <c r="G16" s="612" t="str">
        <f>_xlfn.SWITCH(H16,"да",(0.005*C13*C9)+10.23,"+",(0.01*C13*C9)+15,"")</f>
        <v/>
      </c>
      <c r="H16" s="32" t="s">
        <v>39</v>
      </c>
      <c r="J16" s="97"/>
      <c r="K16" s="97"/>
      <c r="L16" s="97"/>
      <c r="M16" s="97"/>
      <c r="P16" s="158"/>
    </row>
    <row r="17" spans="1:16" ht="16.5">
      <c r="F17" s="156" t="s">
        <v>133</v>
      </c>
      <c r="G17" s="843">
        <f>_xlfn.LET(_xlpm.вариант, H17, _xlpm.тир, C13,_xlpm.тир_лист, C8,_xlpm.слоеве, C10, _xlpm.лимит, 30,_xlpm.подготовка, IF(OR(_xlpm.вариант="да", _xlpm.вариант="&lt;1000"), MROUND(_xlpm.тир, 1000)/1000 * 2, 0),_xlpm.сметка_пакетиране, _xlfn.SWITCH(_xlpm.вариант, "да", IF(AND(_xlpm.тир &gt;= 500, _xlpm.слоеве &gt; 2), MROUND(_xlpm.тир, 1000)/1000 * 1, MROUND(_xlpm.тир, 100)/2500 * 1), "&lt;1000", (MROUND(_xlpm.тир, 100)/100 * 0.5) + (_xlfn.FLOOR.PRECISE(_xlpm.тир_лист, 100)/100 * 0.4),0), IF(_xlpm.вариант="не", "", _xlpm.подготовка + MIN(_xlpm.сметка_пакетиране, _xlpm.лимит)))</f>
        <v>4.5999999999999996</v>
      </c>
      <c r="H17" s="146" t="s">
        <v>33</v>
      </c>
      <c r="I17" s="97"/>
      <c r="J17" s="97"/>
      <c r="K17" s="151"/>
      <c r="L17" s="97"/>
      <c r="M17" s="97"/>
    </row>
    <row r="18" spans="1:16">
      <c r="F18" s="512" t="s">
        <v>32</v>
      </c>
      <c r="G18" s="613" t="str">
        <f>IF(H18="без","",IF(H18&gt;=1,(C8+40)*0.0051*H18*(C9/2),""))</f>
        <v/>
      </c>
      <c r="H18" s="558" t="s">
        <v>39</v>
      </c>
      <c r="I18" s="97"/>
      <c r="J18" s="97"/>
      <c r="K18" s="151"/>
      <c r="L18" s="97"/>
      <c r="M18" s="97"/>
    </row>
    <row r="19" spans="1:16">
      <c r="A19" s="54"/>
      <c r="B19" s="110"/>
      <c r="C19" s="111"/>
      <c r="F19" s="108" t="s">
        <v>44</v>
      </c>
      <c r="G19" s="614">
        <f>IF(H19="да",(C8+40)*0.156,0)</f>
        <v>0</v>
      </c>
      <c r="H19" s="146" t="s">
        <v>39</v>
      </c>
      <c r="I19" s="97"/>
      <c r="J19" s="97"/>
      <c r="K19" s="151"/>
      <c r="L19" s="97"/>
      <c r="M19" s="97"/>
    </row>
    <row r="20" spans="1:16">
      <c r="A20" s="54"/>
      <c r="B20" s="110"/>
      <c r="C20" s="111"/>
      <c r="F20" s="512" t="s">
        <v>62</v>
      </c>
      <c r="G20" s="615" t="str" cm="1">
        <f t="array" ref="G20">_xlfn.LET(  _xlpm.тип_лак, H20,  _xlpm.цена_ед, _xlfn.XLOOKUP(_xlpm.тип_лак, Таблица1[УВ лак/ламиниране], Таблица1[УВ цена €], 0),  _xlpm.подготовка, _xlfn.SWITCH(_xlpm.тип_лак,  "частичен",довърш.!$L$11, "част. дв", довърш.!$L$12, "част.обем",Таблица1[[#This Row],[подготовка €]], "над дв.", довърш.!$L$9, "надпечат.", довърш.!$L$10, 0),  _xlfn.IFS( _xlpm.цена_ед &gt; 0, (C13 + 70) * _xlpm.цена_ед + _xlpm.подготовка, _xlpm.цена_ед = 0, "", _xlpm.цена_ед &lt; 0, 5 * H8 + _xlpm.подготовка ))</f>
        <v/>
      </c>
      <c r="H20" s="95" t="s">
        <v>39</v>
      </c>
      <c r="I20" s="155"/>
      <c r="K20" s="151"/>
      <c r="L20" s="97"/>
      <c r="M20" s="97"/>
    </row>
    <row r="21" spans="1:16">
      <c r="A21" s="672" t="str">
        <f>IF(H24&lt;&gt;40, "⚠️ ВНИМАНИЕ: Процентът е променен!", "")</f>
        <v/>
      </c>
      <c r="C21" s="111"/>
      <c r="F21" s="108" t="s">
        <v>160</v>
      </c>
      <c r="G21" s="616" t="str" cm="1">
        <f t="array" ref="G21">_xlfn.LET(_xlpm.тип_лам, H21, _xlpm.подготовка, _xlfn.XLOOKUP(_xlpm.тип_лам, uv, Таблица1[подготовка €], 0), _xlpm.цена_ед, _xlfn.XLOOKUP(_xlpm.тип_лам, довърш.!$I$2:$I$8, довърш.!$K$2:$K$8, 0), _xlfn.IFS( _xlpm.цена_ед &gt; 0, (C13 + 50) * _xlpm.цена_ед + _xlpm.подготовка, _xlpm.цена_ед = 0, "", _xlpm.цена_ед &lt; 0, _xlpm.подготовка ))</f>
        <v/>
      </c>
      <c r="H21" s="95" t="s">
        <v>39</v>
      </c>
      <c r="J21" s="215"/>
      <c r="K21" s="151"/>
      <c r="L21" s="97"/>
      <c r="M21" s="97"/>
    </row>
    <row r="22" spans="1:16" ht="15">
      <c r="A22" s="54"/>
      <c r="B22" s="110"/>
      <c r="C22" s="111"/>
      <c r="F22" s="513" t="s">
        <v>202</v>
      </c>
      <c r="G22" s="617" t="str">
        <f>IF(H22="каландър",(C13+70)*0.025,"")</f>
        <v/>
      </c>
      <c r="H22" s="214" t="s">
        <v>203</v>
      </c>
      <c r="I22" s="202" t="s">
        <v>183</v>
      </c>
      <c r="J22" s="215"/>
      <c r="K22" s="151"/>
      <c r="L22" s="97"/>
      <c r="M22" s="97"/>
    </row>
    <row r="23" spans="1:16">
      <c r="A23" s="54"/>
      <c r="B23" s="110"/>
      <c r="C23" s="111"/>
      <c r="F23" s="512" t="s">
        <v>195</v>
      </c>
      <c r="G23" s="618">
        <f>IF(H23&gt;0,ROUNDUP(SUM(G3:G$21),0)*H23%,0)</f>
        <v>2.0129999999999999</v>
      </c>
      <c r="H23" s="203">
        <v>0.3</v>
      </c>
      <c r="I23" s="202"/>
      <c r="J23" s="215"/>
      <c r="K23" s="151"/>
      <c r="L23" s="97"/>
      <c r="M23" s="97"/>
    </row>
    <row r="24" spans="1:16">
      <c r="A24" s="54"/>
      <c r="B24" s="110"/>
      <c r="C24" s="111"/>
      <c r="E24" s="346"/>
      <c r="F24" s="346" t="s">
        <v>240</v>
      </c>
      <c r="G24" s="619">
        <f>IF(H24&gt;0,ROUNDUP(SUM(G4:G5,G7:G9,G11:G15,G17:G19),0)*H24%,0)</f>
        <v>169.20000000000002</v>
      </c>
      <c r="H24" s="492">
        <v>40</v>
      </c>
      <c r="I24" s="87" t="s">
        <v>183</v>
      </c>
      <c r="J24" s="215"/>
      <c r="K24" s="151"/>
      <c r="L24" s="97"/>
      <c r="M24" s="97"/>
    </row>
    <row r="25" spans="1:16">
      <c r="G25" s="97"/>
      <c r="H25" s="97"/>
      <c r="I25" s="97"/>
      <c r="J25" s="97"/>
      <c r="K25" s="97"/>
      <c r="L25" s="97"/>
      <c r="M25" s="97"/>
    </row>
    <row r="26" spans="1:16">
      <c r="F26" s="108" t="s">
        <v>14</v>
      </c>
      <c r="G26" s="560">
        <f>ROUNDUP(SUM(G3:G24),1)</f>
        <v>841.5</v>
      </c>
    </row>
    <row r="27" spans="1:16">
      <c r="C27" s="92"/>
      <c r="F27" s="37" t="s">
        <v>87</v>
      </c>
      <c r="G27" s="561">
        <f>IFERROR(G26/C8,"")</f>
        <v>0.56100000000000005</v>
      </c>
    </row>
    <row r="28" spans="1:16">
      <c r="C28" s="112"/>
      <c r="F28" s="38" t="s">
        <v>158</v>
      </c>
      <c r="G28" s="563">
        <f>IFERROR(G26-G29,"")</f>
        <v>618.28700000000003</v>
      </c>
      <c r="H28" s="113"/>
    </row>
    <row r="29" spans="1:16">
      <c r="F29" s="38" t="s">
        <v>159</v>
      </c>
      <c r="G29" s="562">
        <f>IFERROR(SUM(G3,H6*2.45,G23),"")</f>
        <v>223.21300000000002</v>
      </c>
      <c r="P29" s="114"/>
    </row>
    <row r="30" spans="1:16">
      <c r="F30" s="115"/>
      <c r="G30" s="143"/>
      <c r="H30" s="116"/>
    </row>
    <row r="31" spans="1:16">
      <c r="A31" s="51"/>
      <c r="F31" s="115"/>
      <c r="G31" s="143"/>
      <c r="H31" s="117"/>
      <c r="P31" s="114"/>
    </row>
    <row r="32" spans="1:16">
      <c r="C32" s="57"/>
      <c r="F32" s="104"/>
    </row>
    <row r="33" spans="2:21">
      <c r="B33" s="841"/>
      <c r="C33" s="842"/>
    </row>
    <row r="35" spans="2:21" ht="15">
      <c r="C35" s="93"/>
      <c r="N35" s="118"/>
      <c r="O35" s="118"/>
      <c r="P35" s="118"/>
      <c r="Q35" s="118"/>
      <c r="R35" s="118"/>
      <c r="S35" s="119"/>
      <c r="T35" s="120"/>
      <c r="U35" s="157"/>
    </row>
    <row r="36" spans="2:21" ht="15">
      <c r="C36" s="43"/>
      <c r="N36" s="57"/>
      <c r="O36" s="118"/>
      <c r="P36" s="57"/>
      <c r="Q36" s="57"/>
      <c r="R36" s="57"/>
      <c r="S36" s="107"/>
      <c r="T36" s="121"/>
      <c r="U36" s="157"/>
    </row>
    <row r="37" spans="2:21" ht="16.5">
      <c r="G37" s="549">
        <v>182</v>
      </c>
      <c r="H37" s="548">
        <f>G37*H38</f>
        <v>355.96105999999997</v>
      </c>
      <c r="I37"/>
    </row>
    <row r="38" spans="2:21">
      <c r="C38" s="92"/>
      <c r="G38" s="539" t="s">
        <v>261</v>
      </c>
      <c r="H38" s="350">
        <v>1.95583</v>
      </c>
      <c r="I38" s="538" t="s">
        <v>262</v>
      </c>
    </row>
    <row r="39" spans="2:21" ht="15">
      <c r="G39" s="550">
        <v>45</v>
      </c>
      <c r="H39" s="540">
        <f>G39/H38</f>
        <v>23.008134653829831</v>
      </c>
      <c r="I39"/>
    </row>
    <row r="40" spans="2:21">
      <c r="C40" s="43"/>
    </row>
    <row r="41" spans="2:21">
      <c r="C41" s="43"/>
    </row>
  </sheetData>
  <dataConsolidate/>
  <mergeCells count="3">
    <mergeCell ref="E2:F2"/>
    <mergeCell ref="E5:F5"/>
    <mergeCell ref="E4:F4"/>
  </mergeCells>
  <conditionalFormatting sqref="H24">
    <cfRule type="expression" dxfId="4" priority="1">
      <formula>$H$24&lt;&gt;40</formula>
    </cfRule>
  </conditionalFormatting>
  <dataValidations count="29">
    <dataValidation showInputMessage="1" showErrorMessage="1" prompt="цена без ддс" sqref="H3" xr:uid="{00000000-0002-0000-0300-000000000000}"/>
    <dataValidation type="list" allowBlank="1" showInputMessage="1" showErrorMessage="1" sqref="H11" xr:uid="{00000000-0002-0000-0300-000001000000}">
      <formula1>"без,1,2,3,4"</formula1>
    </dataValidation>
    <dataValidation type="list" errorStyle="warning" allowBlank="1" showInputMessage="1" showErrorMessage="1" sqref="I3" xr:uid="{00000000-0002-0000-0300-000002000000}">
      <formula1>"със,без"</formula1>
    </dataValidation>
    <dataValidation type="list" allowBlank="1" showInputMessage="1" showErrorMessage="1" sqref="C5" xr:uid="{00000000-0002-0000-0300-000003000000}">
      <formula1>"a3,a4,a5,a6"</formula1>
    </dataValidation>
    <dataValidation allowBlank="1" showDropDown="1" showInputMessage="1" showErrorMessage="1" prompt="ако колите НЕ са цяло число ЗАДЪЛЖИТЕЛНО _x000a_½ с обръщ. при 0.5 или _x000a_¼ с обръщ. при 0,25; _x000a_¾   при 0,75 кола!" sqref="R14" xr:uid="{00000000-0002-0000-0300-000004000000}"/>
    <dataValidation type="list" allowBlank="1" showInputMessage="1" showErrorMessage="1" prompt="бр.гънки" sqref="H13" xr:uid="{00000000-0002-0000-0300-000005000000}">
      <formula1>"0,1,2,3,4,"</formula1>
    </dataValidation>
    <dataValidation type="list" allowBlank="1" showInputMessage="1" showErrorMessage="1" sqref="C6" xr:uid="{00000000-0002-0000-0300-000006000000}">
      <formula1>"1,2,3,4,5,6,7,8,"</formula1>
    </dataValidation>
    <dataValidation type="list" allowBlank="1" showInputMessage="1" showErrorMessage="1" sqref="C7" xr:uid="{00000000-0002-0000-0300-000007000000}">
      <formula1>"1,2,3,4,5,6,7,8,0"</formula1>
    </dataValidation>
    <dataValidation type="list" allowBlank="1" showInputMessage="1" showErrorMessage="1" prompt="избери" sqref="H7" xr:uid="{00000000-0002-0000-0300-000008000000}">
      <formula1>"стандарт,обряз.3стр.,без,"</formula1>
    </dataValidation>
    <dataValidation type="list" allowBlank="1" showInputMessage="1" showErrorMessage="1" sqref="H12" xr:uid="{00000000-0002-0000-0300-00000A000000}">
      <formula1>"машинно,ръчно,не,календари"</formula1>
    </dataValidation>
    <dataValidation type="list" allowBlank="1" showInputMessage="1" showErrorMessage="1" sqref="H15" xr:uid="{00000000-0002-0000-0300-00000B000000}">
      <formula1>el.montaj</formula1>
    </dataValidation>
    <dataValidation type="list" allowBlank="1" showInputMessage="1" showErrorMessage="1" sqref="C4" xr:uid="{00000000-0002-0000-0300-00000C000000}">
      <formula1>INDIRECT($C$3)</formula1>
    </dataValidation>
    <dataValidation type="list" allowBlank="1" showInputMessage="1" showErrorMessage="1" sqref="C3" xr:uid="{00000000-0002-0000-0300-00000D000000}">
      <formula1>formati</formula1>
    </dataValidation>
    <dataValidation type="list" allowBlank="1" showInputMessage="1" showErrorMessage="1" sqref="H17" xr:uid="{00000000-0002-0000-0300-00000E000000}">
      <formula1>"да,не,&lt;1000"</formula1>
    </dataValidation>
    <dataValidation type="list" allowBlank="1" showInputMessage="1" showErrorMessage="1" prompt="биговане_x000a_1 биг_x000a_2 бига_x000a_3 бига_x000a_4 бига" sqref="H18" xr:uid="{00000000-0002-0000-0300-00000F000000}">
      <formula1>"без,1,2,3,4,5,6"</formula1>
    </dataValidation>
    <dataValidation type="list" allowBlank="1" showInputMessage="1" showErrorMessage="1" prompt="да_x000a_без лепене" sqref="H19" xr:uid="{00000000-0002-0000-0300-000010000000}">
      <formula1>"без,да"</formula1>
    </dataValidation>
    <dataValidation type="whole" operator="notEqual" allowBlank="1" showInputMessage="1" showErrorMessage="1" prompt="въведи  брой действителни коли!" sqref="I12" xr:uid="{00000000-0002-0000-0300-000011000000}">
      <formula1>0</formula1>
    </dataValidation>
    <dataValidation type="list" allowBlank="1" showInputMessage="1" showErrorMessage="1" prompt="УВ лак или Надпечатен лак" sqref="H20" xr:uid="{00000000-0002-0000-0300-000012000000}">
      <formula1>uv</formula1>
    </dataValidation>
    <dataValidation type="custom" allowBlank="1" showInputMessage="1" showErrorMessage="1" prompt="коли без ½" sqref="J4" xr:uid="{00000000-0002-0000-0300-000013000000}">
      <formula1>_xlfn.FLOOR.PRECISE(C11,1)</formula1>
    </dataValidation>
    <dataValidation type="list" allowBlank="1" showInputMessage="1" showErrorMessage="1" sqref="H22" xr:uid="{00000000-0002-0000-0300-000015000000}">
      <formula1>"каландър,без к"</formula1>
    </dataValidation>
    <dataValidation allowBlank="1" showInputMessage="1" showErrorMessage="1" prompt="брой над 1000 - H8_x000a_* брой коли - C11_x000a_* брой цветове (лице) - C6_x000a_* цена за над 1000 - 2,70 €" sqref="G8" xr:uid="{A572BD34-0430-40D1-8458-D90E98A4C028}"/>
    <dataValidation type="list" allowBlank="1" showInputMessage="1" showErrorMessage="1" sqref="I13" xr:uid="{00067C96-F2F6-4635-A3CF-361A19C7843C}">
      <formula1>"ръчно,машинно,без,"</formula1>
    </dataValidation>
    <dataValidation type="whole" errorStyle="information" operator="greaterThanOrEqual" allowBlank="1" showInputMessage="1" showErrorMessage="1" prompt="Въведи % отстъпка или остави 0" sqref="H24" xr:uid="{E693ECFB-C0B2-4AD0-AE03-07CC0FC7DC28}">
      <formula1>0</formula1>
    </dataValidation>
    <dataValidation type="list" allowBlank="1" showInputMessage="1" showErrorMessage="1" sqref="H14" xr:uid="{F136966B-F6BB-4B95-80FE-D8A24A49B6C6}">
      <formula1>"да,без"</formula1>
    </dataValidation>
    <dataValidation allowBlank="1" showInputMessage="1" showErrorMessage="1" prompt="ако колите НЕ са цяло число ЗАДЪЛЖИТЕЛНО _x000a_½ с обръщ. при 0.5 или _x000a_¼ с обръщ. при 0,25; _x000a_¾   при 0,75 кола!" sqref="C12" xr:uid="{F1B1C0A8-F304-49FA-9C31-2639CFF2C97D}"/>
    <dataValidation allowBlank="1" showInputMessage="1" showErrorMessage="1" prompt="Пример при тираж 1500:_x000a_База: 15 €_x000a_За тиража (1,5 * 5 € * 1,5 надбавка): 11,25 €_x000a_Общо: 26,25 €" sqref="K7" xr:uid="{0F525383-0D2F-493D-BE71-98DC793C5280}"/>
    <dataValidation allowBlank="1" showInputMessage="1" showErrorMessage="1" prompt="Пример при тираж 1500:_x000a_База: 8 €_x000a_За тиража (1,5 * 5 € * 1,5 надбавка)" sqref="G7" xr:uid="{1B6FC677-C849-4E7C-8845-DAF460F95393}"/>
    <dataValidation allowBlank="1" showInputMessage="1" showErrorMessage="1" prompt="ламиниране" sqref="H23" xr:uid="{00000000-0002-0000-0300-000014000000}"/>
    <dataValidation type="list" allowBlank="1" showInputMessage="1" showErrorMessage="1" prompt="номерация:_x000a_- стандарт - 0,001 лв_x000a_- + номер. - повече номератори - 0,002" sqref="H16" xr:uid="{4911A050-3D8A-433A-81BF-79A13F1D952C}">
      <formula1>"без,да,+"</formula1>
    </dataValidation>
  </dataValidations>
  <pageMargins left="0.7" right="0.7" top="0.75" bottom="0.75" header="0.3" footer="0.3"/>
  <pageSetup paperSize="256" orientation="landscape" horizontalDpi="4294967293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ламиниране" xr:uid="{00000000-0002-0000-0300-000016000000}">
          <x14:formula1>
            <xm:f>довърш.!$I$2:$I$8</xm:f>
          </x14:formula1>
          <xm:sqref>H21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2">
    <tabColor theme="9" tint="-0.249977111117893"/>
  </sheetPr>
  <dimension ref="A1:Q43"/>
  <sheetViews>
    <sheetView showGridLines="0" zoomScaleNormal="100" workbookViewId="0">
      <selection activeCell="I3" sqref="I3"/>
    </sheetView>
  </sheetViews>
  <sheetFormatPr defaultColWidth="9.140625" defaultRowHeight="12.75"/>
  <cols>
    <col min="1" max="1" width="5" style="211" customWidth="1"/>
    <col min="2" max="2" width="21.28515625" style="211" customWidth="1"/>
    <col min="3" max="3" width="9.28515625" style="211" bestFit="1" customWidth="1"/>
    <col min="4" max="4" width="5.28515625" style="211" customWidth="1"/>
    <col min="5" max="5" width="3.85546875" style="211" customWidth="1"/>
    <col min="6" max="6" width="10.28515625" style="211" customWidth="1"/>
    <col min="7" max="7" width="13.7109375" style="211" customWidth="1"/>
    <col min="8" max="8" width="8.7109375" style="211" customWidth="1"/>
    <col min="9" max="9" width="7.85546875" style="211" customWidth="1"/>
    <col min="10" max="10" width="8.42578125" style="211" customWidth="1"/>
    <col min="11" max="11" width="7.7109375" style="211" customWidth="1"/>
    <col min="12" max="12" width="6.5703125" style="211" customWidth="1"/>
    <col min="13" max="14" width="5.42578125" style="211" customWidth="1"/>
    <col min="15" max="15" width="4.85546875" style="211" customWidth="1"/>
    <col min="16" max="16" width="9.140625" style="211"/>
    <col min="17" max="17" width="14" style="211" bestFit="1" customWidth="1"/>
    <col min="18" max="16384" width="9.140625" style="211"/>
  </cols>
  <sheetData>
    <row r="1" spans="1:17">
      <c r="B1" s="869" t="s">
        <v>174</v>
      </c>
      <c r="C1" s="869"/>
      <c r="G1" s="412" t="s">
        <v>10</v>
      </c>
      <c r="H1" s="413" t="s">
        <v>174</v>
      </c>
      <c r="I1" s="414"/>
    </row>
    <row r="2" spans="1:17">
      <c r="C2" s="202"/>
      <c r="E2" s="866"/>
      <c r="F2" s="866"/>
      <c r="H2" s="415" t="s">
        <v>15</v>
      </c>
      <c r="I2" s="405" t="s">
        <v>27</v>
      </c>
      <c r="O2" s="403"/>
    </row>
    <row r="3" spans="1:17">
      <c r="A3" s="416"/>
      <c r="B3" s="417" t="s">
        <v>0</v>
      </c>
      <c r="C3" s="418" t="s">
        <v>223</v>
      </c>
      <c r="E3" s="198"/>
      <c r="F3" s="508" t="s">
        <v>11</v>
      </c>
      <c r="G3" s="585">
        <f>IF(I3="със",C16*H3*1.2,IF(I3="без",C16*(H3+0.06),""))</f>
        <v>485.09999999999997</v>
      </c>
      <c r="H3" s="600">
        <v>4.4999999999999998E-2</v>
      </c>
      <c r="I3" s="419" t="s">
        <v>39</v>
      </c>
      <c r="O3" s="403"/>
    </row>
    <row r="4" spans="1:17">
      <c r="A4" s="420"/>
      <c r="B4" s="421" t="s">
        <v>2</v>
      </c>
      <c r="C4" s="422" t="s">
        <v>188</v>
      </c>
      <c r="E4" s="867" t="s">
        <v>19</v>
      </c>
      <c r="F4" s="867"/>
      <c r="G4" s="586" cm="1">
        <f t="array" ref="G4">_xlfn.LET(_xlpm.цена, H4, _xlpm.цветове, C6 + C7,_xlpm.коли, C12,_xlpm.тип, C10, _xlpm.цена_с_закръгление, MROUND(_xlpm.коли, 0.25) * _xlpm.цена,_xlfn.SWITCH(_xlpm.тип,"да", _xlpm.цена * C12, "не", _xlpm.цена * _xlpm.коли * _xlpm.цветове, "½ с обръщ.", _xlpm.цена_с_закръгление * _xlpm.цветове, "¼ с обръщ.", _xlpm.цена_с_закръгление * _xlpm.цветове,"¾", _xlpm.цена * ROUNDUP(_xlpm.коли, 0) * _xlpm.цветове, ""))</f>
        <v>96</v>
      </c>
      <c r="H4" s="423">
        <f>IFERROR(довърш.!G4,"")</f>
        <v>8</v>
      </c>
      <c r="I4" s="406"/>
      <c r="J4" s="424"/>
      <c r="K4" s="406"/>
      <c r="L4" s="424"/>
      <c r="M4" s="424"/>
      <c r="N4" s="675"/>
      <c r="O4" s="403"/>
    </row>
    <row r="5" spans="1:17">
      <c r="A5" s="425"/>
      <c r="B5" s="164" t="s">
        <v>1</v>
      </c>
      <c r="C5" s="426"/>
      <c r="E5" s="868" t="s">
        <v>25</v>
      </c>
      <c r="F5" s="868"/>
      <c r="G5" s="587" t="str" cm="1">
        <f t="array" ref="G5">_xlfn.LET(_xlpm.тип, C10, _xlpm.тир, C13,_xlpm.плаки, C7,_xlpm.база_плаки, IF(OR(_xlpm.тип="да", _xlpm.тип="½ с обръщ.", _xlpm.тип="¼ с обръщ."), 2.7 * _xlpm.плаки, 0), _xlpm.удари_чисти, _xlfn.FLOOR.PRECISE(_xlpm.тир, 100), _xlpm.кофициент_обръщане, _xlfn.SWITCH(_xlpm.тип, "да", 1,"½ с обръщ.", 0.5,"¼ с обръщ.", 0.25,0
  ), _xlpm.удари_коригирани, _xlpm.удари_чисти * _xlpm.кофициент_обръщане,_xlpm.сметка, IF(_xlpm.тир &lt;= 1000,_xlpm.база_плаки,(_xlpm.удари_коригирани / 1000) * _xlpm.база_плаки), IF(_xlpm.тип="не", "", MROUND(_xlpm.сметка, 2.7)))</f>
        <v/>
      </c>
      <c r="H5" s="427" t="str">
        <f>C10</f>
        <v>не</v>
      </c>
      <c r="I5" s="428"/>
      <c r="J5" s="406"/>
      <c r="K5" s="428"/>
      <c r="L5" s="428"/>
      <c r="M5" s="428"/>
      <c r="N5" s="428"/>
    </row>
    <row r="6" spans="1:17">
      <c r="A6" s="420"/>
      <c r="B6" s="421" t="s">
        <v>24</v>
      </c>
      <c r="C6" s="422">
        <v>2</v>
      </c>
      <c r="E6" s="198"/>
      <c r="F6" s="401" t="s">
        <v>26</v>
      </c>
      <c r="G6" s="676">
        <f>IF(C13&lt;=1000, "", _xlfn.CEILING.PRECISE((C13-1000)/1000) * 2.7 * C12 * C6)</f>
        <v>64.800000000000011</v>
      </c>
    </row>
    <row r="7" spans="1:17">
      <c r="A7" s="425"/>
      <c r="B7" s="429" t="s">
        <v>23</v>
      </c>
      <c r="C7" s="430">
        <v>0</v>
      </c>
      <c r="F7" s="509" t="s">
        <v>193</v>
      </c>
      <c r="G7" s="588" t="str">
        <f>IF(H7="да",I7*20.45,"")</f>
        <v/>
      </c>
      <c r="H7" s="407"/>
      <c r="I7" s="431">
        <v>2</v>
      </c>
    </row>
    <row r="8" spans="1:17">
      <c r="A8" s="420"/>
      <c r="B8" s="421" t="s">
        <v>6</v>
      </c>
      <c r="C8" s="432">
        <v>3000</v>
      </c>
      <c r="F8" s="401" t="s">
        <v>13</v>
      </c>
      <c r="G8" s="589">
        <f>IF(H8="да",2.8*I8,"")</f>
        <v>33.599999999999994</v>
      </c>
      <c r="H8" s="433" t="s">
        <v>33</v>
      </c>
      <c r="I8" s="434">
        <f>IF(C10="да",C9/C11,IF(C10="не",(C6+C7)*C12,IF(C10="½ с обръщ.",(C6+C7)*C12,IF(C10="пантон",(C6+C7)*C12,IF(C10="¼ с обръщ.",ROUNDUP(C9/C11,0),IF(C10="",""))))))</f>
        <v>12</v>
      </c>
      <c r="J8" s="435" t="s">
        <v>16</v>
      </c>
    </row>
    <row r="9" spans="1:17">
      <c r="A9" s="436"/>
      <c r="B9" s="408" t="s">
        <v>9</v>
      </c>
      <c r="C9" s="437">
        <v>12</v>
      </c>
      <c r="E9" s="198"/>
      <c r="F9" s="510" t="s">
        <v>161</v>
      </c>
      <c r="G9" s="590" t="str" cm="1">
        <f t="array" ref="G9">_xlfn.LET(_xlpm.тип, H9,_xlpm.тираж, C13,_xlpm.страници, C8,_xlpm.коли, C12,_xlpm.база_труд, IF(_xlpm.тираж &lt;= 1000, 1.02 * _xlpm.коли, 0.1 * (_xlpm.тираж / 100) * _xlpm.коли),_xlpm.цена_стандарт, _xlpm.база_труд, _xlpm.цена_други, MROUND((_xlpm.тираж / 1000) * 3.58, 1),
_xlpm.цена_3стр, MROUND((7 / 1000 * 1.53 * _xlpm.страници) + _xlpm.база_труд, 1), IF(OR(_xlpm.тип="без", _xlpm.тип=""), "",_xlfn.SWITCH(_xlpm.тип, "стандарт", _xlpm.цена_стандарт,"други", _xlpm.цена_други,"обряз.3стр.", _xlpm.цена_3стр, "Грешка в типа!" )))</f>
        <v/>
      </c>
      <c r="H9" s="535" t="s">
        <v>39</v>
      </c>
      <c r="I9" s="443"/>
    </row>
    <row r="10" spans="1:17">
      <c r="A10" s="420"/>
      <c r="B10" s="439" t="s">
        <v>25</v>
      </c>
      <c r="C10" s="440" t="s">
        <v>34</v>
      </c>
      <c r="E10" s="198"/>
      <c r="F10" s="401" t="s">
        <v>29</v>
      </c>
      <c r="G10" s="591"/>
      <c r="H10" s="152"/>
    </row>
    <row r="11" spans="1:17">
      <c r="A11" s="425"/>
      <c r="B11" s="441" t="s">
        <v>30</v>
      </c>
      <c r="C11" s="442">
        <v>2</v>
      </c>
      <c r="E11" s="198"/>
      <c r="F11" s="508" t="s">
        <v>41</v>
      </c>
      <c r="G11" s="592">
        <f>IF(H11&lt;&gt;"без",ROUNDUP((C8+15)*H11*0.005,0),"")</f>
        <v>0</v>
      </c>
      <c r="H11" s="409"/>
      <c r="I11" s="443"/>
      <c r="L11" s="211" t="str">
        <f>IF(H11="1",ROUNDUP((C8+15)*0.01,0),IF(H11="2 тел.",ROUNDUP((C8+15)*0.02,0),IF(H11="без","","")))</f>
        <v/>
      </c>
    </row>
    <row r="12" spans="1:17">
      <c r="A12" s="134">
        <f>C9/C11/2</f>
        <v>3</v>
      </c>
      <c r="B12" s="444" t="s">
        <v>8</v>
      </c>
      <c r="C12" s="445">
        <f>IFERROR(IF(A12&lt;1,1,IF(A12&gt;=1,C9/C11)),"")</f>
        <v>6</v>
      </c>
      <c r="E12" s="198"/>
      <c r="F12" s="401" t="s">
        <v>32</v>
      </c>
      <c r="G12" s="593" t="str">
        <f>IF(H12="без","",IF(H12&gt;=1,(C13+40)*C12*0.0051*H12,""))</f>
        <v/>
      </c>
      <c r="H12" s="438"/>
    </row>
    <row r="13" spans="1:17">
      <c r="A13" s="446"/>
      <c r="B13" s="447" t="s">
        <v>3</v>
      </c>
      <c r="C13" s="448">
        <f>C8</f>
        <v>3000</v>
      </c>
      <c r="E13" s="198"/>
      <c r="F13" s="508" t="s">
        <v>43</v>
      </c>
      <c r="G13" s="587" t="str" cm="1">
        <f t="array" ref="G13">_xlfn.SWITCH(H13,"не","","машинно",ROUNDUP(C8/1000*3*C12,0),"ръчно",ROUNDUP(0.00356*C8*C12,0),"календ.",ROUNDUP(0.00175*C8*C12*C11,0),"")</f>
        <v/>
      </c>
      <c r="H13" s="409"/>
      <c r="I13" s="677"/>
      <c r="J13" s="677"/>
      <c r="K13" s="678"/>
      <c r="L13" s="679"/>
    </row>
    <row r="14" spans="1:17">
      <c r="A14" s="410"/>
      <c r="B14" s="449" t="str">
        <f>TEXT("от "  &amp; C3,"0х0 см" ) &amp; " тираж. листа"</f>
        <v>от f.60x84 тираж. листа</v>
      </c>
      <c r="C14" s="450">
        <f>IFERROR(_xlfn.XLOOKUP(C4,таб_Цял_Лист[формати/печат],таб_Цял_Лист[тираж. Листа от лист]),"")</f>
        <v>4</v>
      </c>
      <c r="E14" s="198"/>
      <c r="F14" s="401" t="s">
        <v>44</v>
      </c>
      <c r="G14" s="594" t="str">
        <f>IF(H14="да",C8*0.0075,"")</f>
        <v/>
      </c>
      <c r="H14" s="407"/>
    </row>
    <row r="15" spans="1:17" ht="15" customHeight="1">
      <c r="A15" s="501">
        <f>C16*C14/C12-C13</f>
        <v>80</v>
      </c>
      <c r="B15" s="451" t="s">
        <v>85</v>
      </c>
      <c r="C15" s="452">
        <f>IF(AND(C6&lt;=4,C8&lt;=1000),C13+25*C6,C13+40*(C6+C7))</f>
        <v>3080</v>
      </c>
      <c r="E15" s="400"/>
      <c r="F15" s="508" t="s">
        <v>175</v>
      </c>
      <c r="G15" s="585">
        <f>IF(H15&gt;0,C8*H15*0.0052,"")</f>
        <v>15.6</v>
      </c>
      <c r="H15" s="409">
        <v>1</v>
      </c>
      <c r="I15" s="454" t="s">
        <v>179</v>
      </c>
      <c r="Q15" s="455"/>
    </row>
    <row r="16" spans="1:17">
      <c r="A16" s="456"/>
      <c r="B16" s="457" t="s">
        <v>4</v>
      </c>
      <c r="C16" s="458">
        <f>IFERROR(MROUND(C15/C14*C12,10),"")</f>
        <v>4620</v>
      </c>
      <c r="E16" s="199"/>
      <c r="F16" s="401" t="s">
        <v>176</v>
      </c>
      <c r="G16" s="594">
        <f>IF(H16&gt;0,C8*H16*0.0125,"")</f>
        <v>37.5</v>
      </c>
      <c r="H16" s="453">
        <v>1</v>
      </c>
      <c r="I16" s="454" t="s">
        <v>179</v>
      </c>
      <c r="K16" s="151"/>
      <c r="Q16" s="455"/>
    </row>
    <row r="17" spans="1:15">
      <c r="E17" s="198"/>
      <c r="F17" s="508" t="s">
        <v>177</v>
      </c>
      <c r="G17" s="592">
        <f>IF(H17="да",C8*0.0125,"")</f>
        <v>37.5</v>
      </c>
      <c r="H17" s="407" t="s">
        <v>33</v>
      </c>
      <c r="I17" s="202"/>
      <c r="J17" s="459" t="s">
        <v>269</v>
      </c>
    </row>
    <row r="18" spans="1:15">
      <c r="A18" s="460"/>
      <c r="B18" s="460">
        <f>IF(C6=1,C13+50,IF(C6&gt;1,C13+50*(C6+C7),""))</f>
        <v>3100</v>
      </c>
      <c r="C18" s="461">
        <f>IF(C6=1,C13+40,IF(C6&gt;1,C13+30*(C6+C7),""))</f>
        <v>3060</v>
      </c>
      <c r="E18" s="198"/>
      <c r="F18" s="462" t="s">
        <v>178</v>
      </c>
      <c r="G18" s="595" cm="1">
        <f t="array" ref="G18">_xlfn.LET(_xlpm.тип, H18,_xlpm.тираж, C13, _xlpm.страници, C8,_xlpm.коли, C12,_xlpm.общо_страници, _xlpm.страници * _xlpm.коли,_xlpm.тираж_1000, _xlfn.FLOOR.PRECISE(_xlpm.тираж, 1000) / 1000, _xlpm.страници_100, _xlfn.FLOOR.PRECISE(_xlpm.страници, 100) / 100,_xlfn.SWITCH(_xlpm.тип, "да", IF(_xlpm.общо_страници &gt;= 500, _xlpm.страници_100 * 0.77, _xlpm.тираж_1000 * 2.56), "&lt;1000", _xlpm.страници_100 * 2.56, "не", "", ""))</f>
        <v>23.1</v>
      </c>
      <c r="H18" s="409" t="s">
        <v>33</v>
      </c>
      <c r="I18" s="474"/>
    </row>
    <row r="19" spans="1:15">
      <c r="C19" s="94"/>
      <c r="E19" s="198"/>
      <c r="F19" s="508" t="s">
        <v>170</v>
      </c>
      <c r="G19" s="596">
        <f>IF(OR(C7="", C10=""), "", IF(AND(C7&gt;0, C10="не"), I19*2*C11*C12, I19*C11*C12))</f>
        <v>0</v>
      </c>
      <c r="H19" s="463" t="s">
        <v>39</v>
      </c>
      <c r="I19" s="411">
        <f>VLOOKUP(H19,montaj[#All],2)</f>
        <v>0</v>
      </c>
      <c r="J19" s="464">
        <f>IF(SUM(C6,C7)&lt;=4,1,2)</f>
        <v>1</v>
      </c>
    </row>
    <row r="20" spans="1:15">
      <c r="A20" s="681" t="str">
        <f>IF(H22&lt;&gt;40, "⚠️ ВНИМАНИЕ: Процентът е променен!", "")</f>
        <v/>
      </c>
      <c r="C20" s="465"/>
      <c r="F20" s="401" t="s">
        <v>65</v>
      </c>
      <c r="G20" s="597"/>
      <c r="H20" s="400"/>
      <c r="I20" s="23" t="s">
        <v>181</v>
      </c>
      <c r="J20" s="23" t="s">
        <v>182</v>
      </c>
    </row>
    <row r="21" spans="1:15">
      <c r="F21" s="508" t="s">
        <v>180</v>
      </c>
      <c r="G21" s="598" cm="1">
        <f t="array" ref="G21">_xlfn.LET(_xlpm.материал, H21, _xlpm.листа, I21, _xlpm.цена_ед, _xlfn.SWITCH(_xlpm.материал, "вестник", 0.028, "друг", 0.3,0), _xlfn.CEILING.MATH(_xlpm.листа * _xlpm.цена_ед, 0.5))</f>
        <v>3</v>
      </c>
      <c r="H21" s="466" t="s">
        <v>260</v>
      </c>
      <c r="I21" s="467">
        <v>100</v>
      </c>
      <c r="J21" s="468">
        <f>IF(OR(I21=0, H21="без", C13=0), 0, ROUNDUP(((C13+100)/ I21) *C11, 0))</f>
        <v>62</v>
      </c>
    </row>
    <row r="22" spans="1:15" ht="14.25">
      <c r="F22" s="163" t="s">
        <v>240</v>
      </c>
      <c r="G22" s="599">
        <f>IF(H22&gt;0,ROUNDUP(SUM(G4:G7,G9:G20),0)*H22%,0)</f>
        <v>110</v>
      </c>
      <c r="H22" s="210">
        <v>40</v>
      </c>
      <c r="I22" s="87" t="s">
        <v>183</v>
      </c>
      <c r="O22" s="469"/>
    </row>
    <row r="23" spans="1:15">
      <c r="H23" s="470"/>
    </row>
    <row r="24" spans="1:15">
      <c r="F24" s="401" t="s">
        <v>14</v>
      </c>
      <c r="G24" s="555">
        <f>IFERROR(ROUNDUP(SUM(G3:G22),1),"")</f>
        <v>906.2</v>
      </c>
      <c r="H24" s="151"/>
    </row>
    <row r="25" spans="1:15">
      <c r="C25" s="471"/>
      <c r="F25" s="472" t="s">
        <v>87</v>
      </c>
      <c r="G25" s="556">
        <f>IFERROR(G24/C8,"")</f>
        <v>0.30206666666666671</v>
      </c>
    </row>
    <row r="26" spans="1:15">
      <c r="F26" s="401" t="s">
        <v>158</v>
      </c>
      <c r="G26" s="557">
        <f>IFERROR(G24-G27,"")</f>
        <v>388.70000000000005</v>
      </c>
      <c r="H26" s="473"/>
    </row>
    <row r="27" spans="1:15">
      <c r="F27" s="401" t="s">
        <v>159</v>
      </c>
      <c r="G27" s="680">
        <f>IFERROR(SUM(G3,I8*2.45,G21),"")</f>
        <v>517.5</v>
      </c>
      <c r="H27" s="215"/>
    </row>
    <row r="28" spans="1:15">
      <c r="C28" s="94"/>
    </row>
    <row r="29" spans="1:15">
      <c r="C29" s="152"/>
    </row>
    <row r="30" spans="1:15">
      <c r="A30" s="211" t="s">
        <v>279</v>
      </c>
      <c r="C30" s="212"/>
    </row>
    <row r="31" spans="1:15">
      <c r="C31" s="212"/>
    </row>
    <row r="33" spans="6:11" ht="16.5">
      <c r="F33" s="549">
        <v>32.4</v>
      </c>
      <c r="G33" s="548">
        <f>F33*G34</f>
        <v>63.368891999999995</v>
      </c>
      <c r="H33"/>
    </row>
    <row r="34" spans="6:11" ht="14.25">
      <c r="F34" s="539" t="s">
        <v>261</v>
      </c>
      <c r="G34" s="350">
        <v>1.95583</v>
      </c>
      <c r="H34" s="538" t="s">
        <v>262</v>
      </c>
    </row>
    <row r="35" spans="6:11" ht="15">
      <c r="F35" s="550">
        <v>90</v>
      </c>
      <c r="G35" s="540">
        <f>F35/G34</f>
        <v>46.016269307659663</v>
      </c>
      <c r="H35"/>
    </row>
    <row r="43" spans="6:11">
      <c r="K43" s="211" t="str" cm="1">
        <f t="array" ref="K43">_xlfn.LET(_xlpm.тип, C12,_xlpm.тираж, C13, _xlpm.цветове_гръб, C7,_xlpm.база_цена, 2.7,_xlpm.цена_цвят, IF(_xlpm.тип="не", 0, _xlpm.база_цена * _xlpm.цветове_гръб),_xlpm.тираж_закр, _xlfn.FLOOR.PRECISE(_xlpm.тираж, 100),_xlpm.тираж_коригиран, _xlfn.SWITCH(_xlpm.тип, "½ с обръщ.", _xlpm.тираж_закр / 2, "¼ с обръщ.", _xlpm.тираж_закр / 2,"да", _xlpm.тираж_закр, "¾", _xlpm.тираж_закр,0 ),_xlpm.стойност_L5, MAX(1, _xlpm.тираж_коригиран / 1000) * _xlpm.цена_цвят,_xlpm.стойност_M5, MAX(1, _xlpm.тираж_закр / 1000) * _xlpm.цена_цвят,_xlfn.SWITCH(_xlpm.тип, "да", MROUND(_xlpm.стойност_M5, _xlpm.база_цена),"½ с обръщ.", MROUND(_xlpm.стойност_L5, _xlpm.база_цена), "¼ с обръщ.", MROUND(_xlpm.стойност_L5, _xlpm.база_цена), ""))</f>
        <v/>
      </c>
    </row>
  </sheetData>
  <dataConsolidate/>
  <mergeCells count="4">
    <mergeCell ref="E2:F2"/>
    <mergeCell ref="E4:F4"/>
    <mergeCell ref="E5:F5"/>
    <mergeCell ref="B1:C1"/>
  </mergeCells>
  <conditionalFormatting sqref="I7">
    <cfRule type="colorScale" priority="2">
      <colorScale>
        <cfvo type="num" val="1"/>
        <cfvo type="num" val="4"/>
        <color rgb="FFFF0000"/>
        <color rgb="FFFF0000"/>
      </colorScale>
    </cfRule>
  </conditionalFormatting>
  <conditionalFormatting sqref="H22">
    <cfRule type="expression" dxfId="3" priority="1">
      <formula>$H$22&lt;&gt;40</formula>
    </cfRule>
  </conditionalFormatting>
  <dataValidations xWindow="241" yWindow="432" count="23">
    <dataValidation type="list" allowBlank="1" showInputMessage="1" showErrorMessage="1" prompt="биговане_x000a_1 биг_x000a_2 бига_x000a_3 бига_x000a_4 бига" sqref="H12" xr:uid="{00000000-0002-0000-0200-000000000000}">
      <formula1>"без,1,2,3,4,5,6"</formula1>
    </dataValidation>
    <dataValidation type="list" allowBlank="1" showInputMessage="1" showErrorMessage="1" sqref="H18" xr:uid="{00000000-0002-0000-0200-000001000000}">
      <formula1>"да,не,&lt;1000"</formula1>
    </dataValidation>
    <dataValidation type="custom" allowBlank="1" showInputMessage="1" showErrorMessage="1" prompt="коли без ½" sqref="J4" xr:uid="{00000000-0002-0000-0200-000002000000}">
      <formula1>_xlfn.FLOOR.PRECISE(C12,1)</formula1>
    </dataValidation>
    <dataValidation type="list" allowBlank="1" showInputMessage="1" showErrorMessage="1" sqref="C3" xr:uid="{00000000-0002-0000-0200-000003000000}">
      <formula1>formati</formula1>
    </dataValidation>
    <dataValidation type="list" allowBlank="1" showInputMessage="1" showErrorMessage="1" sqref="C4" xr:uid="{00000000-0002-0000-0200-000004000000}">
      <formula1>INDIRECT($C$3)</formula1>
    </dataValidation>
    <dataValidation type="list" allowBlank="1" showInputMessage="1" showErrorMessage="1" sqref="H19" xr:uid="{00000000-0002-0000-0200-000005000000}">
      <formula1>el.montaj</formula1>
    </dataValidation>
    <dataValidation type="list" allowBlank="1" showInputMessage="1" showErrorMessage="1" sqref="H13" xr:uid="{00000000-0002-0000-0200-000006000000}">
      <formula1>"машинно,ръчно,не,календ."</formula1>
    </dataValidation>
    <dataValidation type="list" allowBlank="1" showInputMessage="1" showErrorMessage="1" prompt="избери" sqref="H9" xr:uid="{00000000-0002-0000-0200-000007000000}">
      <formula1>"стандарт,обряз.3стр.,без"</formula1>
    </dataValidation>
    <dataValidation type="list" allowBlank="1" showInputMessage="1" showErrorMessage="1" sqref="C7" xr:uid="{00000000-0002-0000-0200-000008000000}">
      <formula1>"1,2,3,4,5,6,7,8,0"</formula1>
    </dataValidation>
    <dataValidation type="list" allowBlank="1" showInputMessage="1" showErrorMessage="1" sqref="C6" xr:uid="{00000000-0002-0000-0200-000009000000}">
      <formula1>"1,2,3,4,5,6,7,8,"</formula1>
    </dataValidation>
    <dataValidation type="list" allowBlank="1" showInputMessage="1" showErrorMessage="1" prompt="ако колите не са цяло число ЗАДЪЛЖИТЕЛНО ½ с обръщ. при 0.5 или ¼ с обръщ. при 0,25 кола!" sqref="C10" xr:uid="{00000000-0002-0000-0200-00000A000000}">
      <formula1>"не,да,½ с обръщ.,¼ с обръщ.,"</formula1>
    </dataValidation>
    <dataValidation type="list" allowBlank="1" showInputMessage="1" showErrorMessage="1" sqref="C5" xr:uid="{00000000-0002-0000-0200-00000B000000}">
      <formula1>"a3,a4,a5,a6"</formula1>
    </dataValidation>
    <dataValidation type="list" errorStyle="warning" allowBlank="1" showInputMessage="1" showErrorMessage="1" sqref="I3" xr:uid="{00000000-0002-0000-0200-00000C000000}">
      <formula1>"със,без"</formula1>
    </dataValidation>
    <dataValidation type="list" allowBlank="1" showInputMessage="1" showErrorMessage="1" sqref="H11" xr:uid="{00000000-0002-0000-0200-00000D000000}">
      <formula1>"без,1,2,3,4"</formula1>
    </dataValidation>
    <dataValidation showInputMessage="1" showErrorMessage="1" prompt="цена без ддс" sqref="H3" xr:uid="{00000000-0002-0000-0200-00000E000000}"/>
    <dataValidation type="list" allowBlank="1" showInputMessage="1" showErrorMessage="1" sqref="H8" xr:uid="{00000000-0002-0000-0200-00000F000000}">
      <formula1>"от клиент,да"</formula1>
    </dataValidation>
    <dataValidation type="list" allowBlank="1" showInputMessage="1" showErrorMessage="1" sqref="H15:H16" xr:uid="{00000000-0002-0000-0200-000010000000}">
      <formula1>"1,2,3,4,0"</formula1>
    </dataValidation>
    <dataValidation type="list" allowBlank="1" showInputMessage="1" showErrorMessage="1" sqref="H17 H14" xr:uid="{00000000-0002-0000-0200-000011000000}">
      <formula1>"без,да"</formula1>
    </dataValidation>
    <dataValidation type="list" allowBlank="1" showInputMessage="1" showErrorMessage="1" sqref="H21" xr:uid="{00000000-0002-0000-0200-000012000000}">
      <formula1>"без,вестник,друг"</formula1>
    </dataValidation>
    <dataValidation type="whole" allowBlank="1" showInputMessage="1" showErrorMessage="1" prompt="задължително се въвежда брой основни цветове на календара, освен черното!" sqref="I7" xr:uid="{00000000-0002-0000-0200-000013000000}">
      <formula1>1</formula1>
      <formula2>4</formula2>
    </dataValidation>
    <dataValidation type="list" allowBlank="1" showInputMessage="1" showErrorMessage="1" sqref="H7" xr:uid="{00000000-0002-0000-0200-000014000000}">
      <formula1>"не,да"</formula1>
    </dataValidation>
    <dataValidation allowBlank="1" showInputMessage="1" showErrorMessage="1" prompt="разделители на колко листа?" sqref="I21" xr:uid="{650E4819-EBB7-4865-843C-A952686EB49E}"/>
    <dataValidation type="decimal" errorStyle="information" operator="greaterThanOrEqual" allowBlank="1" showInputMessage="1" showErrorMessage="1" prompt="Въведи % оскъпяване или остави 0" sqref="H22" xr:uid="{B63C1603-AF96-467B-9C89-6CD3AA5C50FD}">
      <formula1>0</formula1>
    </dataValidation>
  </dataValidations>
  <pageMargins left="0.7" right="0.7" top="0.75" bottom="0.75" header="0.3" footer="0.3"/>
  <pageSetup paperSize="256" orientation="landscape" horizontalDpi="4294967293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9">
    <tabColor rgb="FFD01C6D"/>
  </sheetPr>
  <dimension ref="A1:Y45"/>
  <sheetViews>
    <sheetView showGridLines="0" workbookViewId="0">
      <selection activeCell="G35" sqref="G35"/>
    </sheetView>
  </sheetViews>
  <sheetFormatPr defaultColWidth="9.140625" defaultRowHeight="14.25"/>
  <cols>
    <col min="1" max="1" width="4.28515625" style="11" customWidth="1"/>
    <col min="2" max="2" width="17" style="11" customWidth="1"/>
    <col min="3" max="3" width="9.5703125" style="11" customWidth="1"/>
    <col min="4" max="4" width="7.85546875" style="11" customWidth="1"/>
    <col min="5" max="5" width="7.7109375" style="11" customWidth="1"/>
    <col min="6" max="6" width="8.28515625" style="11" customWidth="1"/>
    <col min="7" max="7" width="6.85546875" style="11" customWidth="1"/>
    <col min="8" max="8" width="5.42578125" style="11" customWidth="1"/>
    <col min="9" max="9" width="9.5703125" style="11" customWidth="1"/>
    <col min="10" max="10" width="6.85546875" style="11" customWidth="1"/>
    <col min="11" max="11" width="6.5703125" style="11" customWidth="1"/>
    <col min="12" max="12" width="6.7109375" style="11" customWidth="1"/>
    <col min="13" max="13" width="9.140625" style="11"/>
    <col min="14" max="14" width="10.7109375" style="11" customWidth="1"/>
    <col min="15" max="15" width="10.5703125" style="11" customWidth="1"/>
    <col min="16" max="16" width="10.140625" style="11" customWidth="1"/>
    <col min="17" max="17" width="7.42578125" style="11" customWidth="1"/>
    <col min="18" max="16384" width="9.140625" style="11"/>
  </cols>
  <sheetData>
    <row r="1" spans="1:25" ht="18">
      <c r="A1" s="875"/>
      <c r="B1" s="875"/>
      <c r="C1" s="875"/>
      <c r="D1" s="875"/>
      <c r="E1" s="875"/>
      <c r="F1" s="875"/>
      <c r="G1" s="875"/>
      <c r="H1" s="875"/>
      <c r="I1" s="875"/>
    </row>
    <row r="2" spans="1:25" ht="15" customHeight="1">
      <c r="B2" s="877" t="s">
        <v>94</v>
      </c>
      <c r="C2" s="877"/>
      <c r="D2" s="877"/>
      <c r="E2" s="877"/>
      <c r="F2" s="846"/>
      <c r="G2" s="846"/>
      <c r="H2" s="846"/>
      <c r="I2" s="337"/>
      <c r="K2" s="337"/>
      <c r="L2" s="211"/>
      <c r="P2" s="844" t="s">
        <v>115</v>
      </c>
      <c r="Q2" s="385"/>
      <c r="R2" s="674" t="str">
        <f>IF(D24&lt;&gt;40, "⚠️ ВНИМАНИЕ: Процентът е променен!", "")</f>
        <v/>
      </c>
    </row>
    <row r="3" spans="1:25" ht="18">
      <c r="A3" s="39"/>
      <c r="B3" s="40"/>
      <c r="D3" s="41"/>
      <c r="G3" s="876"/>
      <c r="H3" s="876"/>
      <c r="I3" s="42"/>
      <c r="Q3" s="385"/>
    </row>
    <row r="4" spans="1:25" ht="15" customHeight="1">
      <c r="A4" s="43"/>
      <c r="B4" s="58" t="s">
        <v>95</v>
      </c>
      <c r="C4" s="59"/>
      <c r="D4" s="44"/>
      <c r="E4" s="45"/>
      <c r="P4" s="845" t="s">
        <v>117</v>
      </c>
      <c r="Q4" s="845" t="s">
        <v>116</v>
      </c>
      <c r="R4" s="845" t="s">
        <v>237</v>
      </c>
      <c r="S4" s="845" t="s">
        <v>241</v>
      </c>
    </row>
    <row r="5" spans="1:25" ht="15" customHeight="1">
      <c r="B5" s="65" t="s">
        <v>96</v>
      </c>
      <c r="C5" s="682"/>
      <c r="D5" s="47" t="s">
        <v>98</v>
      </c>
      <c r="E5" s="48" t="str">
        <f>IFERROR(VLOOKUP(C5,spirala[],2),"")</f>
        <v/>
      </c>
      <c r="F5" s="13" t="s">
        <v>99</v>
      </c>
      <c r="I5" s="872" t="s">
        <v>249</v>
      </c>
      <c r="J5" s="873"/>
      <c r="K5" s="503">
        <v>297</v>
      </c>
      <c r="L5" s="100" t="s">
        <v>248</v>
      </c>
      <c r="P5" s="471" t="s">
        <v>113</v>
      </c>
      <c r="Q5" s="649">
        <v>12.7</v>
      </c>
      <c r="R5" s="685">
        <v>3.5999999999999999E-3</v>
      </c>
      <c r="S5" s="213">
        <v>1.8</v>
      </c>
      <c r="U5" s="63" t="s">
        <v>108</v>
      </c>
      <c r="V5" s="35"/>
      <c r="W5" s="35"/>
      <c r="X5" s="35"/>
    </row>
    <row r="6" spans="1:25" ht="15" customHeight="1">
      <c r="B6" s="66" t="s">
        <v>100</v>
      </c>
      <c r="C6" s="61"/>
      <c r="D6" s="47"/>
      <c r="E6" s="51"/>
      <c r="F6" s="13"/>
      <c r="I6" s="278"/>
      <c r="J6" s="684" t="s">
        <v>251</v>
      </c>
      <c r="K6" s="502">
        <f>_xlfn.FLOOR.PRECISE((K5 - 6) / 8.467, 1)</f>
        <v>34</v>
      </c>
      <c r="L6" s="202" t="s">
        <v>250</v>
      </c>
      <c r="P6" s="471" t="s">
        <v>97</v>
      </c>
      <c r="Q6" s="649">
        <v>6.4</v>
      </c>
      <c r="R6" s="685">
        <v>2.0999999999999999E-3</v>
      </c>
      <c r="S6" s="213">
        <v>0.35</v>
      </c>
      <c r="U6" s="64" t="s">
        <v>198</v>
      </c>
      <c r="V6" s="35"/>
      <c r="W6" s="35"/>
      <c r="X6" s="35"/>
    </row>
    <row r="7" spans="1:25" ht="15" customHeight="1">
      <c r="A7" s="43"/>
      <c r="B7" s="67" t="s">
        <v>102</v>
      </c>
      <c r="C7" s="60"/>
      <c r="D7" s="47" t="s">
        <v>103</v>
      </c>
      <c r="E7" s="536" t="str" cm="1">
        <f t="array" ref="E7">_xlfn.LET(_xlpm.размер, E5,_xlfn.SWITCH(_xlpm.размер, 4.8, 2, 6.4, 3,  7.9, 4, 9.5, 4, 11.1, 5,  12.7, 5, 14.3, 6,  ""))</f>
        <v/>
      </c>
      <c r="F7" s="13" t="s">
        <v>319</v>
      </c>
      <c r="P7" s="471" t="s">
        <v>107</v>
      </c>
      <c r="Q7" s="649">
        <v>4.8</v>
      </c>
      <c r="R7" s="685">
        <v>1.56E-3</v>
      </c>
      <c r="S7" s="213"/>
      <c r="U7" s="537" t="s">
        <v>109</v>
      </c>
      <c r="V7" s="537"/>
      <c r="W7" s="537"/>
      <c r="X7" s="537"/>
      <c r="Y7" s="35" t="s">
        <v>118</v>
      </c>
    </row>
    <row r="8" spans="1:25" ht="15" customHeight="1">
      <c r="B8" s="66" t="s">
        <v>104</v>
      </c>
      <c r="C8" s="62"/>
      <c r="D8" s="47"/>
      <c r="E8" s="51"/>
      <c r="F8" s="13"/>
      <c r="I8" s="211"/>
      <c r="J8" s="652" t="s">
        <v>252</v>
      </c>
      <c r="K8" s="653" t="s">
        <v>247</v>
      </c>
      <c r="L8" s="211"/>
      <c r="P8" s="471" t="s">
        <v>111</v>
      </c>
      <c r="Q8" s="649">
        <v>9.5</v>
      </c>
      <c r="R8" s="685">
        <v>2.2000000000000001E-3</v>
      </c>
      <c r="S8" s="213"/>
      <c r="U8" s="35"/>
      <c r="V8" s="35"/>
      <c r="W8" s="35"/>
      <c r="X8" s="35"/>
    </row>
    <row r="9" spans="1:25" ht="15" customHeight="1">
      <c r="A9" s="43"/>
      <c r="B9" s="67" t="s">
        <v>51</v>
      </c>
      <c r="C9" s="60"/>
      <c r="D9" s="13" t="s">
        <v>103</v>
      </c>
      <c r="E9" s="53">
        <f>SUM(E7,1)</f>
        <v>1</v>
      </c>
      <c r="F9" s="13" t="s">
        <v>320</v>
      </c>
      <c r="I9" s="650" t="s">
        <v>243</v>
      </c>
      <c r="J9" s="683">
        <v>24</v>
      </c>
      <c r="K9" s="641">
        <v>21</v>
      </c>
      <c r="L9" s="211"/>
      <c r="P9" s="471" t="s">
        <v>110</v>
      </c>
      <c r="Q9" s="649">
        <v>7.9</v>
      </c>
      <c r="R9" s="685">
        <v>2.5100000000000001E-3</v>
      </c>
      <c r="S9" s="213"/>
      <c r="T9" s="64"/>
      <c r="U9" s="213" t="s">
        <v>200</v>
      </c>
      <c r="W9" s="35"/>
      <c r="X9" s="35"/>
    </row>
    <row r="10" spans="1:25" ht="15" customHeight="1">
      <c r="B10" s="335" t="s">
        <v>104</v>
      </c>
      <c r="C10" s="62"/>
      <c r="I10" s="651" t="s">
        <v>244</v>
      </c>
      <c r="J10" s="847">
        <v>16</v>
      </c>
      <c r="K10" s="848">
        <v>14.8</v>
      </c>
      <c r="L10" s="211"/>
      <c r="P10" s="471" t="s">
        <v>112</v>
      </c>
      <c r="Q10" s="649">
        <v>11.1</v>
      </c>
      <c r="R10" s="685">
        <v>4.7000000000000002E-3</v>
      </c>
      <c r="S10" s="213"/>
      <c r="T10" s="64"/>
      <c r="U10" s="213" t="s">
        <v>216</v>
      </c>
      <c r="W10" s="35"/>
      <c r="X10" s="35"/>
    </row>
    <row r="11" spans="1:25" ht="15">
      <c r="B11" s="340" t="s">
        <v>215</v>
      </c>
      <c r="C11" s="342" t="s">
        <v>34</v>
      </c>
      <c r="I11" s="650" t="s">
        <v>245</v>
      </c>
      <c r="J11" s="683">
        <v>34</v>
      </c>
      <c r="K11" s="641">
        <v>29.7</v>
      </c>
      <c r="L11" s="211"/>
      <c r="P11" s="471" t="s">
        <v>114</v>
      </c>
      <c r="Q11" s="649">
        <v>14.3</v>
      </c>
      <c r="R11" s="685">
        <v>5.1999999999999998E-3</v>
      </c>
      <c r="S11" s="213">
        <v>2</v>
      </c>
      <c r="T11" s="64"/>
      <c r="U11" s="211" t="s">
        <v>201</v>
      </c>
      <c r="W11" s="35"/>
      <c r="X11" s="35"/>
    </row>
    <row r="12" spans="1:25">
      <c r="B12" s="338" t="s">
        <v>120</v>
      </c>
      <c r="C12" s="344" t="s">
        <v>34</v>
      </c>
      <c r="I12" s="651" t="s">
        <v>246</v>
      </c>
      <c r="J12" s="847">
        <v>24</v>
      </c>
      <c r="K12" s="848">
        <v>21</v>
      </c>
      <c r="L12" s="211"/>
    </row>
    <row r="13" spans="1:25">
      <c r="B13" s="339" t="s">
        <v>199</v>
      </c>
      <c r="C13" s="343" t="s">
        <v>39</v>
      </c>
    </row>
    <row r="15" spans="1:25" ht="15">
      <c r="A15" s="46">
        <v>1</v>
      </c>
      <c r="B15" s="874" t="s">
        <v>184</v>
      </c>
      <c r="C15" s="874"/>
      <c r="G15" s="46">
        <v>2</v>
      </c>
      <c r="H15" s="345" t="s">
        <v>71</v>
      </c>
      <c r="I15" s="331"/>
      <c r="J15" s="345"/>
    </row>
    <row r="16" spans="1:25">
      <c r="G16" s="49"/>
      <c r="H16" s="50"/>
    </row>
    <row r="17" spans="1:14">
      <c r="B17" s="52" t="s">
        <v>101</v>
      </c>
      <c r="C17" s="621" t="str">
        <f>_xlfn.LET(_xlpm.размер, C5,_xlpm.тираж, C4,_xlpm.зъби, C6,_xlpm.корекция, S5,_xlpm.буфер, 1.15, _xlpm.цена_зъб, IFERROR(VLOOKUP(_xlpm.размер, spirala[#All], 3, FALSE), 0),_xlpm.резултат, (_xlpm.цена_зъб * _xlpm.зъби * _xlpm.тираж * _xlpm.корекция) * _xlpm.буфер, IF(_xlpm.резултат = 0, "", _xlpm.резултат))</f>
        <v/>
      </c>
      <c r="D17" s="387"/>
      <c r="G17" s="49"/>
      <c r="H17" s="52" t="s">
        <v>101</v>
      </c>
      <c r="I17" s="621" t="str">
        <f>IFERROR(VLOOKUP(C5,spirala[#All],3)*C6*C4*S5,"")</f>
        <v/>
      </c>
      <c r="J17" s="515"/>
    </row>
    <row r="18" spans="1:14">
      <c r="B18" s="45" t="s">
        <v>119</v>
      </c>
      <c r="C18" s="622">
        <f>ROUNDUP((C4+20)*0.04,0)</f>
        <v>1</v>
      </c>
      <c r="G18" s="49"/>
      <c r="H18" s="45" t="s">
        <v>119</v>
      </c>
      <c r="I18" s="622">
        <f>C4*0.009</f>
        <v>0</v>
      </c>
      <c r="J18" s="220"/>
    </row>
    <row r="19" spans="1:14">
      <c r="B19" s="38" t="s">
        <v>105</v>
      </c>
      <c r="C19" s="623">
        <f>_xlfn.LET(_xlpm.тираж, C4, _xlpm.листа_тяло, C8,_xlpm.листа_корица, C10,_xlpm.листа_на_удар, E9, _xlpm.базов_коефициент, 0.011,_xlpm.буфер_труд, 1.2,
 _xlpm.общо_листа, _xlpm.листа_тяло + _xlpm.листа_корица, _xlpm.брой_удари, (_xlpm.тираж * _xlpm.общо_листа) / _xlpm.листа_на_удар,_xlpm.резултат, _xlpm.брой_удари * _xlpm.базов_коефициент * _xlpm.буфер_труд, IF(_xlpm.тираж = 0, 0, MROUND(_xlpm.резултат, 0.1)))</f>
        <v>0</v>
      </c>
      <c r="H19" s="38" t="s">
        <v>105</v>
      </c>
      <c r="I19" s="621">
        <f>C4*(C8+C10)/30*0.051</f>
        <v>0</v>
      </c>
      <c r="J19" s="515"/>
    </row>
    <row r="20" spans="1:14">
      <c r="B20" s="332" t="s">
        <v>215</v>
      </c>
      <c r="C20" s="624" t="str">
        <f>IF(C11="да",(C17+C19),"")</f>
        <v/>
      </c>
      <c r="D20" s="334"/>
      <c r="G20" s="55"/>
      <c r="H20" s="333" t="s">
        <v>215</v>
      </c>
      <c r="I20" s="629" t="str">
        <f>IF(C11="да",(I17+I19),"")</f>
        <v/>
      </c>
      <c r="J20" s="220"/>
    </row>
    <row r="21" spans="1:14">
      <c r="B21" s="212" t="s">
        <v>255</v>
      </c>
      <c r="C21" s="625" t="str" cm="1">
        <f t="array" ref="C21">_xlfn.LET(_xlpm.тип, C13,_xlpm.тираж, C4,_xlpm.увеличение, S6,_xlpm.цена, _xlfn.SWITCH(_xlpm.тип, "до 80мм", 0.04, "до 150мм", 0.051, 0),IF(_xlpm.цена=0, "", _xlpm.цена * _xlpm.тираж * _xlpm.увеличение))</f>
        <v/>
      </c>
      <c r="D21" s="12"/>
      <c r="G21" s="56"/>
      <c r="H21" s="212" t="s">
        <v>255</v>
      </c>
      <c r="I21" s="630" t="str">
        <f>IF(C13="до 80мм",(0.04)*C4*S6,IF(C13="без","",IF(C13="до 150мм",(0.051)*C4*S6)))</f>
        <v/>
      </c>
      <c r="J21" s="220"/>
    </row>
    <row r="22" spans="1:14" ht="15" customHeight="1">
      <c r="B22" s="341" t="s">
        <v>194</v>
      </c>
      <c r="C22" s="626">
        <v>5</v>
      </c>
      <c r="H22" s="200" t="s">
        <v>194</v>
      </c>
      <c r="I22" s="631">
        <v>5</v>
      </c>
      <c r="J22" s="220"/>
    </row>
    <row r="23" spans="1:14">
      <c r="B23" s="686" t="s">
        <v>120</v>
      </c>
      <c r="C23" s="627" t="str">
        <f>IF(C12="да",0.0031*C4*C6,IF(C12="не",""))</f>
        <v/>
      </c>
      <c r="E23" s="201"/>
      <c r="F23" s="337"/>
      <c r="G23" s="336"/>
      <c r="H23" s="506" t="s">
        <v>120</v>
      </c>
      <c r="I23" s="627" t="str">
        <f>IF(C12="да",0.00081*C4*C6,IF(C12="не",""))</f>
        <v/>
      </c>
      <c r="J23" s="220"/>
    </row>
    <row r="24" spans="1:14" ht="15">
      <c r="B24" s="341" t="s">
        <v>241</v>
      </c>
      <c r="C24" s="628">
        <f>ROUNDUP(SUM(C18,C23)*D24%,0)</f>
        <v>1</v>
      </c>
      <c r="D24" s="494">
        <v>40</v>
      </c>
      <c r="E24" s="493" t="s">
        <v>183</v>
      </c>
      <c r="G24" s="38"/>
      <c r="H24" s="38" t="s">
        <v>241</v>
      </c>
      <c r="I24" s="628">
        <f>ROUNDUP(SUM(I17:I21,I22)*J24%,0)</f>
        <v>2</v>
      </c>
      <c r="J24" s="494">
        <v>40</v>
      </c>
      <c r="K24" s="493" t="s">
        <v>183</v>
      </c>
    </row>
    <row r="25" spans="1:14" ht="15" customHeight="1">
      <c r="A25" s="870" t="s">
        <v>254</v>
      </c>
      <c r="B25" s="870"/>
      <c r="C25" s="626">
        <v>7.67</v>
      </c>
      <c r="F25" s="871" t="s">
        <v>254</v>
      </c>
      <c r="G25" s="871"/>
      <c r="H25" s="871"/>
      <c r="I25" s="626">
        <v>8</v>
      </c>
      <c r="J25" s="220"/>
    </row>
    <row r="27" spans="1:14" ht="15.75" customHeight="1">
      <c r="B27" s="52" t="s">
        <v>14</v>
      </c>
      <c r="C27" s="564">
        <f>ROUNDUP(SUM(C17:C25),0)</f>
        <v>15</v>
      </c>
      <c r="H27" s="52" t="s">
        <v>14</v>
      </c>
      <c r="I27" s="564">
        <f>SUM(I17:I25)</f>
        <v>15</v>
      </c>
      <c r="N27" s="386"/>
    </row>
    <row r="28" spans="1:14">
      <c r="B28" s="38" t="s">
        <v>106</v>
      </c>
      <c r="C28" s="565" t="str">
        <f>IFERROR(C27/C4,"")</f>
        <v/>
      </c>
      <c r="H28" s="38" t="s">
        <v>106</v>
      </c>
      <c r="I28" s="565" t="str">
        <f>IFERROR(I27/C4,"")</f>
        <v/>
      </c>
    </row>
    <row r="31" spans="1:14" ht="16.5">
      <c r="B31" s="549">
        <v>38.6</v>
      </c>
      <c r="C31" s="548">
        <f>B31*C32</f>
        <v>75.495038000000008</v>
      </c>
      <c r="D31"/>
    </row>
    <row r="32" spans="1:14" ht="15.75" customHeight="1">
      <c r="B32" s="539" t="s">
        <v>261</v>
      </c>
      <c r="C32" s="634">
        <v>1.95583</v>
      </c>
      <c r="D32" s="538" t="s">
        <v>262</v>
      </c>
    </row>
    <row r="33" spans="2:10" ht="15">
      <c r="B33" s="550">
        <v>0.08</v>
      </c>
      <c r="C33" s="540">
        <f>B33/C32</f>
        <v>4.0903350495697481E-2</v>
      </c>
      <c r="D33"/>
    </row>
    <row r="40" spans="2:10">
      <c r="B40" s="16"/>
      <c r="G40" s="64"/>
      <c r="H40" s="35"/>
      <c r="I40" s="35"/>
      <c r="J40" s="35"/>
    </row>
    <row r="41" spans="2:10">
      <c r="B41" s="16"/>
      <c r="G41" s="204"/>
      <c r="H41" s="35"/>
      <c r="I41" s="35"/>
      <c r="J41" s="35"/>
    </row>
    <row r="45" spans="2:10">
      <c r="B45" s="16"/>
    </row>
  </sheetData>
  <mergeCells count="7">
    <mergeCell ref="A25:B25"/>
    <mergeCell ref="F25:H25"/>
    <mergeCell ref="I5:J5"/>
    <mergeCell ref="B15:C15"/>
    <mergeCell ref="A1:I1"/>
    <mergeCell ref="G3:H3"/>
    <mergeCell ref="B2:E2"/>
  </mergeCells>
  <conditionalFormatting sqref="D24">
    <cfRule type="expression" dxfId="2" priority="2">
      <formula>$D$24&lt;&gt;40</formula>
    </cfRule>
  </conditionalFormatting>
  <dataValidations count="7">
    <dataValidation type="list" allowBlank="1" showInputMessage="1" showErrorMessage="1" sqref="C5" xr:uid="{00000000-0002-0000-0600-000001000000}">
      <formula1>inch</formula1>
    </dataValidation>
    <dataValidation type="list" allowBlank="1" showInputMessage="1" showErrorMessage="1" sqref="C11:C12" xr:uid="{414506A6-C2B5-4821-BBB7-A26B2D5A243F}">
      <formula1>"да,не"</formula1>
    </dataValidation>
    <dataValidation type="list" allowBlank="1" showInputMessage="1" showErrorMessage="1" sqref="C13" xr:uid="{4C44247D-A8AE-4E53-B43B-7AAC8A15B03F}">
      <formula1>"без, до 80мм, до 150мм"</formula1>
    </dataValidation>
    <dataValidation allowBlank="1" showInputMessage="1" showErrorMessage="1" prompt="3 зъба на всеки 1 инч (25,4 mm)_x000a_Когато разделим един инч на трите зъба (25,4/3), получаваме точно 8,46666" sqref="K6" xr:uid="{6FE18EC5-55A1-4A94-BDEF-F149341DCE63}"/>
    <dataValidation allowBlank="1" showInputMessage="1" showErrorMessage="1" promptTitle="Променлива буфер: " prompt="В момента е зададена на 1,15. Това автоматично добавя 15% надценка върху базовата цена. Ако искаш да я махнеш или промениш, просто сменяш това число (напр. 1,10 за 10% или 1 за без промяна)." sqref="C17" xr:uid="{32E8452D-B5B1-4EF9-B725-818F9BD0C934}"/>
    <dataValidation allowBlank="1" showInputMessage="1" showErrorMessage="1" promptTitle="Променлива буфер_труд:" prompt="равна на 1,20 (20% надценка). Тъй като перфорацията е ръчна, тези 20% покриват времето за подреждане на пачките, почистване на коша с отпадъци и евентуални грешки" sqref="C19" xr:uid="{E12408E9-E3DC-4501-B448-CBDD38BF7774}"/>
    <dataValidation type="whole" operator="greaterThan" allowBlank="1" showInputMessage="1" showErrorMessage="1" sqref="C9 C7" xr:uid="{06F20CBF-B6DE-4DAB-9351-E884A0D6063B}">
      <formula1>70</formula1>
    </dataValidation>
  </dataValidations>
  <pageMargins left="0.7" right="0.7" top="0.75" bottom="0.75" header="0.3" footer="0.3"/>
  <pageSetup paperSize="9" orientation="portrait" horizontalDpi="4294967294" verticalDpi="0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4">
    <tabColor theme="5" tint="0.79998168889431442"/>
  </sheetPr>
  <dimension ref="A1:K47"/>
  <sheetViews>
    <sheetView tabSelected="1" zoomScaleNormal="100" workbookViewId="0">
      <selection activeCell="L16" sqref="L16"/>
    </sheetView>
  </sheetViews>
  <sheetFormatPr defaultColWidth="9.140625" defaultRowHeight="12.75"/>
  <cols>
    <col min="1" max="3" width="9.140625" style="68"/>
    <col min="4" max="4" width="6" style="68" customWidth="1"/>
    <col min="5" max="6" width="9.140625" style="68"/>
    <col min="7" max="7" width="1.7109375" style="68" customWidth="1"/>
    <col min="8" max="9" width="9.140625" style="68"/>
    <col min="10" max="10" width="9.7109375" style="68" customWidth="1"/>
    <col min="11" max="16384" width="9.140625" style="68"/>
  </cols>
  <sheetData>
    <row r="1" spans="1:11" ht="38.25">
      <c r="A1" s="81" t="s">
        <v>59</v>
      </c>
      <c r="B1" s="81" t="s">
        <v>60</v>
      </c>
      <c r="C1" s="81" t="s">
        <v>58</v>
      </c>
      <c r="E1" s="278"/>
      <c r="F1" s="278"/>
      <c r="G1" s="365"/>
    </row>
    <row r="2" spans="1:11" ht="15" customHeight="1">
      <c r="A2" s="69" t="s">
        <v>53</v>
      </c>
      <c r="B2" s="70" t="s">
        <v>148</v>
      </c>
      <c r="C2" s="71">
        <v>4</v>
      </c>
      <c r="D2" s="4"/>
      <c r="E2" s="364" t="s">
        <v>292</v>
      </c>
      <c r="F2" s="369" t="s">
        <v>214</v>
      </c>
      <c r="G2" s="367"/>
      <c r="H2" s="68" t="s">
        <v>310</v>
      </c>
      <c r="I2" s="361" t="s">
        <v>217</v>
      </c>
    </row>
    <row r="3" spans="1:11" ht="15">
      <c r="A3" s="69"/>
      <c r="B3" s="70" t="s">
        <v>56</v>
      </c>
      <c r="C3" s="71">
        <v>8</v>
      </c>
      <c r="D3" s="4"/>
      <c r="E3" s="364" t="s">
        <v>79</v>
      </c>
      <c r="F3" s="369" t="s">
        <v>5</v>
      </c>
      <c r="G3" s="365"/>
      <c r="H3" s="704"/>
      <c r="I3" s="366" cm="1">
        <f t="array" ref="I3">IF(H3&gt;0, H3, IF(F2="плаки", PlakiCalculate(H5,I5), IF(F3="487х330", "", SmartCalculate(F3,H5,I5,F4,F6))))</f>
        <v>1</v>
      </c>
      <c r="J3"/>
      <c r="K3"/>
    </row>
    <row r="4" spans="1:11" ht="15">
      <c r="A4" s="69"/>
      <c r="B4" s="70" t="s">
        <v>144</v>
      </c>
      <c r="C4" s="71">
        <v>12</v>
      </c>
      <c r="D4" s="4"/>
      <c r="E4" s="364" t="s">
        <v>25</v>
      </c>
      <c r="F4" s="360" t="s">
        <v>34</v>
      </c>
      <c r="G4" s="365"/>
      <c r="H4" s="708" t="s">
        <v>248</v>
      </c>
      <c r="I4" s="708" t="s">
        <v>248</v>
      </c>
    </row>
    <row r="5" spans="1:11" ht="15">
      <c r="A5" s="69"/>
      <c r="B5" s="70" t="s">
        <v>150</v>
      </c>
      <c r="C5" s="71">
        <v>16</v>
      </c>
      <c r="D5" s="4"/>
      <c r="E5" s="364" t="s">
        <v>80</v>
      </c>
      <c r="F5" s="657">
        <f>_xlfn.XLOOKUP(F3,таб_Цял_Лист[формати/печат],таб_Цял_Лист[тираж. Листа от лист])</f>
        <v>4</v>
      </c>
      <c r="G5" s="365"/>
      <c r="H5" s="804">
        <v>420</v>
      </c>
      <c r="I5" s="805">
        <v>297</v>
      </c>
    </row>
    <row r="6" spans="1:11" ht="15">
      <c r="A6" s="69"/>
      <c r="B6" s="70" t="s">
        <v>31</v>
      </c>
      <c r="C6" s="71">
        <v>6</v>
      </c>
      <c r="D6" s="4"/>
      <c r="E6" s="788" t="s">
        <v>307</v>
      </c>
      <c r="F6" s="787" t="s">
        <v>34</v>
      </c>
      <c r="G6" s="365"/>
      <c r="H6"/>
    </row>
    <row r="7" spans="1:11" ht="15">
      <c r="A7" s="69"/>
      <c r="B7" s="70" t="s">
        <v>50</v>
      </c>
      <c r="C7" s="71">
        <v>6</v>
      </c>
      <c r="D7" s="4"/>
      <c r="F7" s="806" t="str" cm="1">
        <f t="array" ref="F7">FindBestSheet(H5, I5, F4, F6)</f>
        <v>МИН: 44x32 (1 бр., фира: 11,4%) | МАКС (Оптим.): 45x32 (1 бр., фира: 13,4%)</v>
      </c>
      <c r="G7" s="365"/>
    </row>
    <row r="8" spans="1:11" ht="15">
      <c r="A8" s="69"/>
      <c r="B8" s="70" t="s">
        <v>68</v>
      </c>
      <c r="C8" s="71">
        <v>9</v>
      </c>
      <c r="D8" s="4"/>
      <c r="F8" s="18"/>
    </row>
    <row r="9" spans="1:11" ht="15">
      <c r="A9" s="69"/>
      <c r="B9" s="70" t="s">
        <v>75</v>
      </c>
      <c r="C9" s="71">
        <v>4</v>
      </c>
      <c r="D9" s="4"/>
      <c r="I9" s="364"/>
    </row>
    <row r="10" spans="1:11" ht="15" customHeight="1">
      <c r="A10" s="69"/>
      <c r="B10" s="71" t="s">
        <v>93</v>
      </c>
      <c r="C10" s="71">
        <v>5</v>
      </c>
      <c r="D10" s="4"/>
      <c r="E10" s="278"/>
      <c r="F10" s="278"/>
      <c r="G10" s="278"/>
    </row>
    <row r="11" spans="1:11" ht="15">
      <c r="A11" s="69"/>
      <c r="B11" s="71" t="s">
        <v>139</v>
      </c>
      <c r="C11" s="71">
        <v>11</v>
      </c>
      <c r="D11" s="4"/>
      <c r="E11" s="278"/>
      <c r="F11" s="278"/>
      <c r="G11" s="278"/>
    </row>
    <row r="12" spans="1:11" ht="15">
      <c r="A12" s="69"/>
      <c r="B12" s="71" t="s">
        <v>121</v>
      </c>
      <c r="C12" s="71">
        <v>17</v>
      </c>
      <c r="D12" s="4"/>
      <c r="E12" s="278"/>
      <c r="F12" s="365"/>
      <c r="G12" s="278"/>
    </row>
    <row r="13" spans="1:11" ht="15">
      <c r="A13" s="4"/>
      <c r="B13" s="71" t="s">
        <v>173</v>
      </c>
      <c r="C13" s="71">
        <v>10</v>
      </c>
      <c r="D13" s="4"/>
      <c r="E13" s="368"/>
      <c r="G13" s="365"/>
    </row>
    <row r="14" spans="1:11" ht="15" customHeight="1">
      <c r="A14" s="4"/>
      <c r="B14" s="71" t="s">
        <v>185</v>
      </c>
      <c r="C14" s="71">
        <v>12</v>
      </c>
      <c r="D14" s="4"/>
      <c r="E14" s="377" t="s">
        <v>221</v>
      </c>
      <c r="F14" s="278"/>
      <c r="G14" s="365"/>
    </row>
    <row r="15" spans="1:11" ht="15">
      <c r="A15" s="4"/>
      <c r="B15" s="71" t="s">
        <v>213</v>
      </c>
      <c r="C15" s="71">
        <v>6</v>
      </c>
      <c r="D15" s="4"/>
      <c r="E15" s="377" t="s">
        <v>214</v>
      </c>
      <c r="F15" s="278"/>
      <c r="G15" s="367"/>
    </row>
    <row r="16" spans="1:11" ht="15">
      <c r="A16" s="77" t="s">
        <v>54</v>
      </c>
      <c r="B16" s="893" t="s">
        <v>5</v>
      </c>
      <c r="C16" s="893">
        <v>4</v>
      </c>
      <c r="D16" s="4"/>
      <c r="E16" s="377" t="s">
        <v>222</v>
      </c>
      <c r="F16" s="365"/>
      <c r="G16" s="365"/>
    </row>
    <row r="17" spans="1:7" ht="15">
      <c r="A17" s="72"/>
      <c r="B17" s="894" t="s">
        <v>52</v>
      </c>
      <c r="C17" s="895">
        <v>6</v>
      </c>
      <c r="D17" s="4"/>
      <c r="E17" s="377" t="s">
        <v>218</v>
      </c>
      <c r="F17" s="365"/>
      <c r="G17" s="365"/>
    </row>
    <row r="18" spans="1:7" ht="15" customHeight="1">
      <c r="A18" s="72"/>
      <c r="B18" s="72" t="s">
        <v>63</v>
      </c>
      <c r="C18" s="72">
        <v>6</v>
      </c>
      <c r="D18" s="4"/>
      <c r="E18" s="377" t="s">
        <v>229</v>
      </c>
      <c r="F18" s="365"/>
      <c r="G18" s="365"/>
    </row>
    <row r="19" spans="1:7" ht="15">
      <c r="A19" s="72"/>
      <c r="B19" s="72" t="s">
        <v>122</v>
      </c>
      <c r="C19" s="72">
        <v>12</v>
      </c>
      <c r="D19" s="4"/>
      <c r="E19" s="377" t="s">
        <v>219</v>
      </c>
      <c r="F19" s="365"/>
      <c r="G19" s="365"/>
    </row>
    <row r="20" spans="1:7" ht="15">
      <c r="A20" s="4"/>
      <c r="B20" s="72" t="s">
        <v>259</v>
      </c>
      <c r="C20" s="72">
        <v>8</v>
      </c>
      <c r="D20" s="4"/>
      <c r="E20" s="377" t="s">
        <v>220</v>
      </c>
      <c r="F20" s="365"/>
      <c r="G20" s="365"/>
    </row>
    <row r="21" spans="1:7" ht="15">
      <c r="A21" s="78" t="s">
        <v>55</v>
      </c>
      <c r="B21" s="73" t="s">
        <v>149</v>
      </c>
      <c r="C21" s="73">
        <v>2</v>
      </c>
      <c r="D21" s="4"/>
      <c r="E21" s="377" t="s">
        <v>223</v>
      </c>
      <c r="F21" s="365"/>
      <c r="G21" s="365"/>
    </row>
    <row r="22" spans="1:7" ht="15">
      <c r="A22" s="73"/>
      <c r="B22" s="73" t="s">
        <v>57</v>
      </c>
      <c r="C22" s="73">
        <v>4</v>
      </c>
      <c r="D22" s="4"/>
      <c r="E22" s="377" t="s">
        <v>224</v>
      </c>
      <c r="F22" s="365"/>
      <c r="G22" s="365"/>
    </row>
    <row r="23" spans="1:7" ht="15">
      <c r="A23" s="73"/>
      <c r="B23" s="73" t="s">
        <v>152</v>
      </c>
      <c r="C23" s="73">
        <v>6</v>
      </c>
      <c r="D23" s="4"/>
      <c r="E23" s="377" t="s">
        <v>236</v>
      </c>
      <c r="F23" s="365"/>
      <c r="G23" s="365"/>
    </row>
    <row r="24" spans="1:7" ht="15">
      <c r="A24" s="73"/>
      <c r="B24" s="73" t="s">
        <v>153</v>
      </c>
      <c r="C24" s="73">
        <v>8</v>
      </c>
      <c r="D24" s="4"/>
      <c r="E24" s="377" t="s">
        <v>13</v>
      </c>
      <c r="F24" s="365"/>
      <c r="G24" s="365"/>
    </row>
    <row r="25" spans="1:7" ht="15">
      <c r="A25" s="73"/>
      <c r="B25" s="73" t="s">
        <v>211</v>
      </c>
      <c r="C25" s="73">
        <v>3</v>
      </c>
      <c r="D25" s="4"/>
      <c r="F25" s="365"/>
      <c r="G25" s="365"/>
    </row>
    <row r="26" spans="1:7" ht="15">
      <c r="A26" s="4" t="s">
        <v>78</v>
      </c>
      <c r="B26" s="75" t="s">
        <v>145</v>
      </c>
      <c r="C26" s="75">
        <v>4</v>
      </c>
      <c r="D26" s="4"/>
      <c r="E26" s="4"/>
      <c r="F26" s="4"/>
      <c r="G26" s="4"/>
    </row>
    <row r="27" spans="1:7" ht="15">
      <c r="A27" s="4"/>
      <c r="B27" s="75" t="s">
        <v>141</v>
      </c>
      <c r="C27" s="75">
        <v>6</v>
      </c>
      <c r="D27" s="4"/>
      <c r="E27" s="4"/>
      <c r="F27" s="4"/>
      <c r="G27" s="4"/>
    </row>
    <row r="28" spans="1:7" ht="15">
      <c r="A28" s="4"/>
      <c r="B28" s="75" t="s">
        <v>140</v>
      </c>
      <c r="C28" s="75">
        <v>9</v>
      </c>
      <c r="D28" s="4"/>
      <c r="E28" s="4"/>
      <c r="F28" s="4"/>
      <c r="G28" s="4"/>
    </row>
    <row r="29" spans="1:7" ht="15">
      <c r="A29" s="4"/>
      <c r="B29" s="75" t="s">
        <v>226</v>
      </c>
      <c r="C29" s="75">
        <v>6</v>
      </c>
      <c r="D29" s="4"/>
      <c r="E29" s="4"/>
      <c r="F29" s="4"/>
      <c r="G29" s="4"/>
    </row>
    <row r="30" spans="1:7" ht="15">
      <c r="A30" s="79" t="s">
        <v>88</v>
      </c>
      <c r="B30" s="76" t="s">
        <v>147</v>
      </c>
      <c r="C30" s="76">
        <v>4</v>
      </c>
      <c r="D30" s="4"/>
      <c r="E30" s="4"/>
      <c r="F30" s="4"/>
      <c r="G30" s="4"/>
    </row>
    <row r="31" spans="1:7" ht="15">
      <c r="A31" s="79"/>
      <c r="B31" s="76" t="s">
        <v>89</v>
      </c>
      <c r="C31" s="76">
        <v>9</v>
      </c>
      <c r="D31" s="4"/>
      <c r="E31" s="4"/>
      <c r="F31" s="4"/>
      <c r="G31" s="4"/>
    </row>
    <row r="32" spans="1:7" ht="15">
      <c r="A32" s="79"/>
      <c r="B32" s="76" t="s">
        <v>90</v>
      </c>
      <c r="C32" s="76">
        <v>6</v>
      </c>
      <c r="D32" s="4"/>
      <c r="E32" s="4"/>
      <c r="F32" s="4"/>
      <c r="G32" s="4"/>
    </row>
    <row r="33" spans="1:3" ht="15">
      <c r="A33" s="80" t="s">
        <v>91</v>
      </c>
      <c r="B33" s="74" t="s">
        <v>146</v>
      </c>
      <c r="C33" s="74">
        <v>4</v>
      </c>
    </row>
    <row r="34" spans="1:3" ht="15">
      <c r="A34" s="80"/>
      <c r="B34" s="74" t="s">
        <v>143</v>
      </c>
      <c r="C34" s="74">
        <v>6</v>
      </c>
    </row>
    <row r="35" spans="1:3" ht="15">
      <c r="A35" s="80"/>
      <c r="B35" s="74" t="s">
        <v>142</v>
      </c>
      <c r="C35" s="74">
        <v>9</v>
      </c>
    </row>
    <row r="36" spans="1:3" ht="15">
      <c r="A36" s="80"/>
      <c r="B36" s="74" t="s">
        <v>92</v>
      </c>
      <c r="C36" s="74">
        <v>6</v>
      </c>
    </row>
    <row r="37" spans="1:3" ht="15">
      <c r="A37" s="4"/>
      <c r="B37" s="74" t="s">
        <v>231</v>
      </c>
      <c r="C37" s="74">
        <v>8</v>
      </c>
    </row>
    <row r="38" spans="1:3" ht="15">
      <c r="A38" s="194" t="s">
        <v>187</v>
      </c>
      <c r="B38" s="195" t="s">
        <v>188</v>
      </c>
      <c r="C38" s="195">
        <v>4</v>
      </c>
    </row>
    <row r="39" spans="1:3" ht="15">
      <c r="A39" s="194"/>
      <c r="B39" s="195" t="s">
        <v>189</v>
      </c>
      <c r="C39" s="195">
        <v>6</v>
      </c>
    </row>
    <row r="40" spans="1:3" ht="15">
      <c r="A40" s="196" t="s">
        <v>190</v>
      </c>
      <c r="B40" s="197" t="s">
        <v>191</v>
      </c>
      <c r="C40" s="197">
        <v>4</v>
      </c>
    </row>
    <row r="41" spans="1:3" ht="15">
      <c r="A41" s="196"/>
      <c r="B41" s="197" t="s">
        <v>192</v>
      </c>
      <c r="C41" s="197">
        <v>6</v>
      </c>
    </row>
    <row r="42" spans="1:3" ht="15">
      <c r="A42" s="4"/>
      <c r="B42" s="197" t="s">
        <v>232</v>
      </c>
      <c r="C42" s="197">
        <v>8</v>
      </c>
    </row>
    <row r="43" spans="1:3" ht="15">
      <c r="A43" s="383" t="s">
        <v>233</v>
      </c>
      <c r="B43" s="384" t="s">
        <v>234</v>
      </c>
      <c r="C43" s="384">
        <v>2</v>
      </c>
    </row>
    <row r="44" spans="1:3" ht="15">
      <c r="A44" s="383"/>
      <c r="B44" s="384" t="s">
        <v>235</v>
      </c>
      <c r="C44" s="384">
        <v>4</v>
      </c>
    </row>
    <row r="45" spans="1:3" ht="15">
      <c r="A45" s="802" t="s">
        <v>230</v>
      </c>
      <c r="B45" s="803" t="s">
        <v>151</v>
      </c>
      <c r="C45" s="803">
        <v>4</v>
      </c>
    </row>
    <row r="46" spans="1:3" ht="15">
      <c r="A46" s="802"/>
      <c r="B46" s="803" t="s">
        <v>123</v>
      </c>
      <c r="C46" s="803">
        <v>2</v>
      </c>
    </row>
    <row r="47" spans="1:3" ht="15">
      <c r="A47" s="799" t="s">
        <v>13</v>
      </c>
      <c r="B47" s="800" t="s">
        <v>124</v>
      </c>
      <c r="C47" s="801">
        <v>4</v>
      </c>
    </row>
  </sheetData>
  <dataConsolidate function="count">
    <dataRefs count="1">
      <dataRef ref="B18:B20" sheet="формати"/>
    </dataRefs>
  </dataConsolidate>
  <dataValidations count="6">
    <dataValidation type="list" allowBlank="1" showInputMessage="1" showErrorMessage="1" prompt="до хром 130 г - 64/94_x000a_хром 130 -300 г - Агресионе, 80 г" sqref="F2" xr:uid="{9DC3F934-4174-4BBF-92E4-3328F2B82402}">
      <formula1>formati</formula1>
    </dataValidation>
    <dataValidation type="list" allowBlank="1" showInputMessage="1" showErrorMessage="1" sqref="F4" xr:uid="{39366A18-202F-4689-88EB-820215DC7901}">
      <formula1>obr.</formula1>
    </dataValidation>
    <dataValidation type="list" allowBlank="1" showInputMessage="1" showErrorMessage="1" sqref="F3" xr:uid="{21D4FF0F-D720-497C-B6F7-C634B7B8C674}">
      <formula1>INDIRECT($F$2)</formula1>
    </dataValidation>
    <dataValidation type="decimal" operator="greaterThanOrEqual" allowBlank="1" showInputMessage="1" showErrorMessage="1" error="може да се въвеждат само цифри!" prompt="може да се въвеждат само цифри!" sqref="H5:I5" xr:uid="{8E4E9336-BAEC-40FE-A33C-464A2B0D97E9}">
      <formula1>0</formula1>
    </dataValidation>
    <dataValidation type="list" allowBlank="1" showInputMessage="1" showErrorMessage="1" sqref="F6" xr:uid="{18CF8299-DFEE-4100-85F0-8B03E6ABFFD5}">
      <formula1>"да,не,"</formula1>
    </dataValidation>
    <dataValidation allowBlank="1" showInputMessage="1" showErrorMessage="1" prompt="когато имаме различни формати за рязане, въвеждаме ръчно броя на размноженията..." sqref="H3" xr:uid="{5A9FA790-EEAC-4393-AAC5-B200536DC301}"/>
  </dataValidations>
  <pageMargins left="0.70866141732283472" right="0.70866141732283472" top="0.74803149606299213" bottom="0.74803149606299213" header="0.31496062992125984" footer="0.31496062992125984"/>
  <pageSetup paperSize="9" orientation="portrait" blackAndWhite="1" cellComments="atEnd" horizontalDpi="4294967294" verticalDpi="0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5">
    <tabColor theme="9" tint="0.79998168889431442"/>
  </sheetPr>
  <dimension ref="A1:P27"/>
  <sheetViews>
    <sheetView workbookViewId="0">
      <selection activeCell="I20" sqref="I20"/>
    </sheetView>
  </sheetViews>
  <sheetFormatPr defaultColWidth="9.140625" defaultRowHeight="15.95" customHeight="1"/>
  <cols>
    <col min="1" max="1" width="11" style="162" customWidth="1"/>
    <col min="2" max="2" width="9.140625" style="162"/>
    <col min="3" max="3" width="11.140625" style="162" customWidth="1"/>
    <col min="4" max="4" width="12.42578125" style="162" customWidth="1"/>
    <col min="5" max="5" width="13" style="162" customWidth="1"/>
    <col min="6" max="6" width="14.42578125" style="162" customWidth="1"/>
    <col min="7" max="7" width="7.140625" style="162" customWidth="1"/>
    <col min="8" max="8" width="9.140625" style="162"/>
    <col min="9" max="9" width="13.42578125" style="162" customWidth="1"/>
    <col min="10" max="10" width="7.140625" style="162" customWidth="1"/>
    <col min="11" max="11" width="6.5703125" style="162" customWidth="1"/>
    <col min="12" max="12" width="9.42578125" style="162" customWidth="1"/>
    <col min="13" max="13" width="3.85546875" style="162" customWidth="1"/>
    <col min="14" max="14" width="9.140625" style="162"/>
    <col min="15" max="15" width="10.5703125" style="162" customWidth="1"/>
    <col min="16" max="16384" width="9.140625" style="162"/>
  </cols>
  <sheetData>
    <row r="1" spans="1:16" ht="39" customHeight="1">
      <c r="A1" s="186" t="s">
        <v>44</v>
      </c>
      <c r="B1" s="187" t="s">
        <v>275</v>
      </c>
      <c r="C1" s="188" t="s">
        <v>25</v>
      </c>
      <c r="D1" s="189" t="s">
        <v>274</v>
      </c>
      <c r="E1" s="187" t="s">
        <v>273</v>
      </c>
      <c r="F1" s="188" t="s">
        <v>12</v>
      </c>
      <c r="G1" s="825" t="s">
        <v>314</v>
      </c>
      <c r="H1" s="190"/>
      <c r="I1" s="191" t="s">
        <v>61</v>
      </c>
      <c r="J1" s="488" t="s">
        <v>270</v>
      </c>
      <c r="K1" s="487" t="s">
        <v>271</v>
      </c>
      <c r="L1" s="486" t="s">
        <v>272</v>
      </c>
    </row>
    <row r="2" spans="1:16" ht="15.95" customHeight="1">
      <c r="A2" s="828" t="s">
        <v>155</v>
      </c>
      <c r="B2" s="165">
        <v>0</v>
      </c>
      <c r="C2" s="163" t="s">
        <v>81</v>
      </c>
      <c r="D2" s="166" t="s">
        <v>276</v>
      </c>
      <c r="E2" s="167" t="s">
        <v>267</v>
      </c>
      <c r="F2" s="826" t="s">
        <v>20</v>
      </c>
      <c r="G2" s="824">
        <v>5.2</v>
      </c>
      <c r="I2" s="171" t="s">
        <v>39</v>
      </c>
      <c r="J2" s="172">
        <v>0</v>
      </c>
      <c r="K2" s="172">
        <v>0</v>
      </c>
      <c r="L2" s="479"/>
    </row>
    <row r="3" spans="1:16" ht="15.95" customHeight="1">
      <c r="A3" s="828" t="s">
        <v>39</v>
      </c>
      <c r="B3" s="165">
        <v>0</v>
      </c>
      <c r="C3" s="163" t="s">
        <v>74</v>
      </c>
      <c r="D3" s="166" t="s">
        <v>277</v>
      </c>
      <c r="E3" s="170"/>
      <c r="F3" s="826" t="s">
        <v>21</v>
      </c>
      <c r="G3" s="824">
        <v>8</v>
      </c>
      <c r="I3" s="174" t="s">
        <v>35</v>
      </c>
      <c r="J3" s="175">
        <v>2.8000000000000001E-2</v>
      </c>
      <c r="K3" s="176">
        <v>5.0999999999999997E-2</v>
      </c>
      <c r="L3" s="480">
        <v>5.6239999999999997</v>
      </c>
    </row>
    <row r="4" spans="1:16" ht="15.95" customHeight="1">
      <c r="A4" s="828" t="s">
        <v>46</v>
      </c>
      <c r="B4" s="165">
        <v>0.06</v>
      </c>
      <c r="C4" s="163" t="s">
        <v>209</v>
      </c>
      <c r="D4" s="166" t="s">
        <v>186</v>
      </c>
      <c r="E4" s="172"/>
      <c r="F4" s="826" t="s">
        <v>18</v>
      </c>
      <c r="G4" s="824">
        <v>8</v>
      </c>
      <c r="I4" s="174" t="s">
        <v>37</v>
      </c>
      <c r="J4" s="177">
        <f>J3*2</f>
        <v>5.6000000000000001E-2</v>
      </c>
      <c r="K4" s="176">
        <f>K3*2</f>
        <v>0.10199999999999999</v>
      </c>
      <c r="L4" s="480">
        <v>5.6239999999999997</v>
      </c>
    </row>
    <row r="5" spans="1:16" ht="15.95" customHeight="1">
      <c r="A5" s="828" t="s">
        <v>67</v>
      </c>
      <c r="B5" s="165">
        <v>0.02</v>
      </c>
      <c r="C5" s="173" t="s">
        <v>33</v>
      </c>
      <c r="D5" s="164"/>
      <c r="E5" s="172" t="s">
        <v>263</v>
      </c>
      <c r="F5" s="826" t="s">
        <v>22</v>
      </c>
      <c r="G5" s="824">
        <v>10.3</v>
      </c>
      <c r="I5" s="174" t="s">
        <v>69</v>
      </c>
      <c r="J5" s="175">
        <v>0</v>
      </c>
      <c r="K5" s="175">
        <v>0.2</v>
      </c>
      <c r="L5" s="479">
        <v>7.67</v>
      </c>
    </row>
    <row r="6" spans="1:16" ht="15.95" customHeight="1">
      <c r="A6" s="828" t="s">
        <v>132</v>
      </c>
      <c r="B6" s="165">
        <v>6.4000000000000001E-2</v>
      </c>
      <c r="C6" s="163" t="s">
        <v>34</v>
      </c>
      <c r="D6" s="164"/>
      <c r="E6" s="172" t="s">
        <v>264</v>
      </c>
      <c r="F6" s="826" t="s">
        <v>278</v>
      </c>
      <c r="G6" s="824">
        <v>2.7</v>
      </c>
      <c r="I6" s="174" t="s">
        <v>154</v>
      </c>
      <c r="J6" s="177">
        <v>0</v>
      </c>
      <c r="K6" s="176">
        <f>K5*2</f>
        <v>0.4</v>
      </c>
      <c r="L6" s="480">
        <v>7.67</v>
      </c>
    </row>
    <row r="7" spans="1:16" ht="15.95" customHeight="1">
      <c r="A7" s="828" t="s">
        <v>45</v>
      </c>
      <c r="B7" s="165">
        <v>1.5E-3</v>
      </c>
      <c r="C7" s="163"/>
      <c r="D7" s="823"/>
      <c r="E7" s="170"/>
      <c r="F7" s="826" t="s">
        <v>25</v>
      </c>
      <c r="G7" s="824">
        <v>2.7</v>
      </c>
      <c r="I7" s="174" t="s">
        <v>36</v>
      </c>
      <c r="J7" s="175">
        <v>5.6000000000000001E-2</v>
      </c>
      <c r="K7" s="175">
        <v>6.4000000000000001E-2</v>
      </c>
      <c r="L7" s="479">
        <v>5.6239999999999997</v>
      </c>
    </row>
    <row r="8" spans="1:16" ht="15.95" customHeight="1">
      <c r="A8" s="828" t="s">
        <v>76</v>
      </c>
      <c r="B8" s="179">
        <v>1.2E-2</v>
      </c>
      <c r="C8" s="821"/>
      <c r="D8" s="823"/>
      <c r="E8" s="172"/>
      <c r="F8" s="826"/>
      <c r="G8" s="172"/>
      <c r="I8" s="174" t="s">
        <v>38</v>
      </c>
      <c r="J8" s="177">
        <f>J7*2</f>
        <v>0.112</v>
      </c>
      <c r="K8" s="176">
        <f>K7*2</f>
        <v>0.128</v>
      </c>
      <c r="L8" s="480">
        <v>5.6239999999999997</v>
      </c>
    </row>
    <row r="9" spans="1:16" ht="15.95" customHeight="1">
      <c r="A9" s="828" t="s">
        <v>253</v>
      </c>
      <c r="B9" s="165">
        <v>4.1000000000000002E-2</v>
      </c>
      <c r="C9" s="822"/>
      <c r="D9" s="823"/>
      <c r="E9" s="170"/>
      <c r="F9" s="826"/>
      <c r="G9" s="697"/>
      <c r="I9" s="174" t="s">
        <v>156</v>
      </c>
      <c r="J9" s="175">
        <v>-1</v>
      </c>
      <c r="K9" s="175">
        <v>0</v>
      </c>
      <c r="L9" s="479">
        <v>23.007999999999999</v>
      </c>
    </row>
    <row r="10" spans="1:16" ht="15.95" customHeight="1">
      <c r="A10" s="180"/>
      <c r="B10" s="165"/>
      <c r="C10" s="163"/>
      <c r="D10" s="823"/>
      <c r="E10" s="170"/>
      <c r="F10" s="826"/>
      <c r="G10" s="697"/>
      <c r="I10" s="168" t="s">
        <v>82</v>
      </c>
      <c r="J10" s="181">
        <v>-1</v>
      </c>
      <c r="K10" s="181">
        <v>0</v>
      </c>
      <c r="L10" s="481">
        <v>10.23</v>
      </c>
    </row>
    <row r="11" spans="1:16" ht="15.95" customHeight="1">
      <c r="A11" s="180"/>
      <c r="B11" s="165"/>
      <c r="C11" s="163"/>
      <c r="D11" s="178"/>
      <c r="E11" s="170"/>
      <c r="F11" s="827"/>
      <c r="G11" s="697"/>
      <c r="I11" s="174" t="s">
        <v>77</v>
      </c>
      <c r="J11" s="177">
        <v>7.0999999999999994E-2</v>
      </c>
      <c r="K11" s="484">
        <v>0</v>
      </c>
      <c r="L11" s="482">
        <v>41.42</v>
      </c>
    </row>
    <row r="12" spans="1:16" ht="15.95" customHeight="1">
      <c r="A12" s="182"/>
      <c r="B12" s="179"/>
      <c r="I12" s="168" t="s">
        <v>227</v>
      </c>
      <c r="J12" s="169">
        <f>J11*2</f>
        <v>0.14199999999999999</v>
      </c>
      <c r="K12" s="485">
        <v>0</v>
      </c>
      <c r="L12" s="483">
        <v>41.42</v>
      </c>
    </row>
    <row r="13" spans="1:16" ht="15.95" customHeight="1">
      <c r="I13" s="168" t="s">
        <v>228</v>
      </c>
      <c r="J13" s="177">
        <v>7.4999999999999997E-2</v>
      </c>
      <c r="K13" s="172"/>
      <c r="L13" s="479">
        <v>43.46</v>
      </c>
      <c r="O13"/>
    </row>
    <row r="15" spans="1:16" ht="15.95" customHeight="1">
      <c r="A15" s="820" t="s">
        <v>134</v>
      </c>
      <c r="B15" s="183">
        <v>23</v>
      </c>
      <c r="O15" s="381"/>
      <c r="P15" s="172"/>
    </row>
    <row r="16" spans="1:16" ht="15.95" customHeight="1">
      <c r="A16" s="184" t="s">
        <v>135</v>
      </c>
      <c r="B16" s="185">
        <v>12</v>
      </c>
      <c r="I16" s="380"/>
      <c r="K16" s="278"/>
      <c r="O16" s="382"/>
      <c r="P16" s="172"/>
    </row>
    <row r="17" spans="1:16" ht="15.95" customHeight="1">
      <c r="O17" s="381"/>
      <c r="P17" s="172"/>
    </row>
    <row r="18" spans="1:16" ht="15.95" customHeight="1">
      <c r="O18" s="381"/>
      <c r="P18" s="172"/>
    </row>
    <row r="19" spans="1:16" ht="15.95" customHeight="1">
      <c r="A19" s="233" t="s">
        <v>206</v>
      </c>
      <c r="B19" t="s">
        <v>265</v>
      </c>
      <c r="O19" s="381"/>
      <c r="P19" s="172"/>
    </row>
    <row r="20" spans="1:16" ht="15.95" customHeight="1">
      <c r="A20" s="233" t="s">
        <v>205</v>
      </c>
      <c r="B20" t="s">
        <v>266</v>
      </c>
      <c r="O20" s="381"/>
      <c r="P20" s="172"/>
    </row>
    <row r="21" spans="1:16" ht="15.95" customHeight="1">
      <c r="A21" s="233" t="s">
        <v>207</v>
      </c>
      <c r="B21" t="s">
        <v>268</v>
      </c>
      <c r="O21" s="381"/>
      <c r="P21" s="172"/>
    </row>
    <row r="22" spans="1:16" ht="15.95" customHeight="1">
      <c r="A22" s="234" t="s">
        <v>41</v>
      </c>
      <c r="B22" s="162">
        <v>5.0000000000000001E-3</v>
      </c>
      <c r="O22" s="381"/>
      <c r="P22" s="172"/>
    </row>
    <row r="23" spans="1:16" ht="15.95" customHeight="1">
      <c r="A23" s="234" t="s">
        <v>208</v>
      </c>
      <c r="B23" s="162">
        <v>5.0000000000000001E-3</v>
      </c>
      <c r="O23" s="381"/>
      <c r="P23" s="172"/>
    </row>
    <row r="24" spans="1:16" ht="15.95" customHeight="1">
      <c r="I24" s="222"/>
      <c r="O24" s="381"/>
      <c r="P24" s="172"/>
    </row>
    <row r="25" spans="1:16" ht="15.95" customHeight="1">
      <c r="O25" s="381"/>
      <c r="P25" s="172"/>
    </row>
    <row r="26" spans="1:16" ht="15.95" customHeight="1">
      <c r="I26" s="539"/>
      <c r="J26" s="350"/>
      <c r="K26" s="538"/>
      <c r="O26" s="381"/>
      <c r="P26" s="172"/>
    </row>
    <row r="27" spans="1:16" ht="15.95" customHeight="1">
      <c r="I27" s="547"/>
      <c r="J27" s="546"/>
      <c r="K27"/>
      <c r="O27" s="381"/>
      <c r="P27" s="172"/>
    </row>
  </sheetData>
  <dataConsolidate/>
  <conditionalFormatting sqref="I2:I13">
    <cfRule type="expression" dxfId="1" priority="56">
      <formula>I2=$I$16</formula>
    </cfRule>
  </conditionalFormatting>
  <conditionalFormatting sqref="K16">
    <cfRule type="expression" dxfId="0" priority="1">
      <formula>SEARCH($I$16,"частичен*")</formula>
    </cfRule>
  </conditionalFormatting>
  <dataValidations count="1">
    <dataValidation type="list" allowBlank="1" showInputMessage="1" showErrorMessage="1" sqref="I16" xr:uid="{F46D2235-A2C8-4BC5-9F74-8D09F920324F}">
      <formula1>$I$2:$I$13</formula1>
    </dataValidation>
  </dataValidations>
  <pageMargins left="0.7" right="0.7" top="0.75" bottom="0.75" header="0.3" footer="0.3"/>
  <pageSetup paperSize="9" orientation="landscape" horizontalDpi="4294967294" verticalDpi="0" r:id="rId1"/>
  <legacy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8"/>
  <dimension ref="A1:Q31"/>
  <sheetViews>
    <sheetView workbookViewId="0">
      <selection activeCell="G10" sqref="G10:I10"/>
    </sheetView>
  </sheetViews>
  <sheetFormatPr defaultColWidth="9.140625" defaultRowHeight="14.25"/>
  <cols>
    <col min="1" max="1" width="13.85546875" style="687" customWidth="1"/>
    <col min="2" max="2" width="21.7109375" style="687" customWidth="1"/>
    <col min="3" max="3" width="15.140625" style="687" customWidth="1"/>
    <col min="4" max="4" width="20.140625" style="687" customWidth="1"/>
    <col min="5" max="5" width="6.5703125" style="687" customWidth="1"/>
    <col min="6" max="6" width="16.28515625" style="687" customWidth="1"/>
    <col min="7" max="7" width="20.28515625" style="687" customWidth="1"/>
    <col min="8" max="8" width="16.7109375" style="687" customWidth="1"/>
    <col min="9" max="9" width="20.140625" style="687" customWidth="1"/>
    <col min="10" max="10" width="9.28515625" style="687" customWidth="1"/>
    <col min="11" max="11" width="3.85546875" style="687" customWidth="1"/>
    <col min="12" max="14" width="9.140625" style="687"/>
    <col min="15" max="15" width="10.140625" style="687" bestFit="1" customWidth="1"/>
    <col min="16" max="16384" width="9.140625" style="687"/>
  </cols>
  <sheetData>
    <row r="1" spans="1:17" ht="18.95" customHeight="1">
      <c r="A1" s="749" t="s">
        <v>281</v>
      </c>
      <c r="B1" s="698" t="s">
        <v>315</v>
      </c>
      <c r="C1" s="749" t="s">
        <v>280</v>
      </c>
      <c r="D1" s="741" t="s">
        <v>316</v>
      </c>
      <c r="F1" s="699" t="s">
        <v>280</v>
      </c>
      <c r="G1" s="716" t="s">
        <v>317</v>
      </c>
      <c r="H1" s="699" t="s">
        <v>283</v>
      </c>
      <c r="I1" s="710">
        <f ca="1">TODAY()</f>
        <v>46283</v>
      </c>
      <c r="M1" s="688" t="s">
        <v>70</v>
      </c>
      <c r="N1" s="752" t="s">
        <v>299</v>
      </c>
    </row>
    <row r="2" spans="1:17" ht="18.95" customHeight="1">
      <c r="A2" s="748" t="s">
        <v>291</v>
      </c>
      <c r="B2" s="737" t="str">
        <f>'черно+'!B5&amp;"х"&amp;'черно+'!C5&amp;" мм"</f>
        <v>215х35 мм</v>
      </c>
      <c r="C2" s="747" t="s">
        <v>283</v>
      </c>
      <c r="D2" s="736">
        <f ca="1">TODAY()</f>
        <v>46283</v>
      </c>
      <c r="F2" s="700" t="s">
        <v>281</v>
      </c>
      <c r="G2" s="698" t="s">
        <v>131</v>
      </c>
      <c r="H2" s="745" t="s">
        <v>289</v>
      </c>
      <c r="I2" s="691" cm="1">
        <f t="array" aca="1" ref="I2" ca="1">INDIRECT("'" &amp; N1 &amp; "'!G24")</f>
        <v>0</v>
      </c>
      <c r="J2" s="211"/>
      <c r="K2" s="211"/>
      <c r="L2" s="211"/>
      <c r="M2" s="211" t="str">
        <f>_xlfn.LET(_xlpm.клиент, UPPER(D1),"ПОРЪЧКА ЗА: " &amp; _xlpm.клиент)</f>
        <v>ПОРЪЧКА ЗА: МАРТИН ЕВА</v>
      </c>
      <c r="N2" s="211"/>
      <c r="O2" s="690"/>
      <c r="Q2" s="211"/>
    </row>
    <row r="3" spans="1:17" ht="18.95" customHeight="1">
      <c r="A3" s="749" t="s">
        <v>304</v>
      </c>
      <c r="B3" s="797" t="str">
        <f>'черно+'!B8&amp;" бр."</f>
        <v>14400 бр.</v>
      </c>
      <c r="C3" s="749" t="s">
        <v>289</v>
      </c>
      <c r="D3" s="729" cm="1">
        <f t="array" aca="1" ref="D3" ca="1">INDIRECT("'" &amp; M1 &amp; "'!G30")</f>
        <v>73.199999999999989</v>
      </c>
      <c r="E3" s="211"/>
      <c r="F3" s="699" t="s">
        <v>285</v>
      </c>
      <c r="G3" s="693" t="str">
        <f>Химия!C10&amp;" кочана"</f>
        <v xml:space="preserve"> кочана</v>
      </c>
      <c r="H3" s="732" t="s">
        <v>293</v>
      </c>
      <c r="I3" s="695" t="str" cm="1">
        <f t="array" aca="1" ref="I3" ca="1">INDIRECT("'" &amp; N1 &amp; "'!G25")</f>
        <v/>
      </c>
      <c r="J3" s="211"/>
      <c r="K3" s="211"/>
      <c r="L3" s="211"/>
      <c r="N3" s="211"/>
    </row>
    <row r="4" spans="1:17" ht="18.95" customHeight="1">
      <c r="A4" s="747" t="s">
        <v>287</v>
      </c>
      <c r="B4" s="738" t="str">
        <f>'черно+'!B6 &amp; " + " &amp; 'черно+'!B7</f>
        <v>3 + 0</v>
      </c>
      <c r="C4" s="747" t="s">
        <v>293</v>
      </c>
      <c r="D4" s="746" cm="1">
        <f t="array" aca="1" ref="D4" ca="1">INDIRECT("'" &amp; M1 &amp; "'!G31")</f>
        <v>5.0833333333333329E-3</v>
      </c>
      <c r="E4" s="211"/>
      <c r="F4" s="730" t="s">
        <v>300</v>
      </c>
      <c r="G4" s="733" t="str">
        <f>Химия!C11&amp; " листа" &amp; " в кочан"</f>
        <v xml:space="preserve"> листа в кочан</v>
      </c>
      <c r="H4" s="745" t="s">
        <v>302</v>
      </c>
      <c r="I4" s="731" t="str">
        <f>Химия!C12&amp; " цвят/а"</f>
        <v xml:space="preserve"> цвят/а</v>
      </c>
      <c r="J4" s="211"/>
      <c r="K4" s="211"/>
      <c r="L4" s="211"/>
      <c r="N4" s="211"/>
    </row>
    <row r="5" spans="1:17" ht="18.95" customHeight="1">
      <c r="A5" s="749" t="s">
        <v>290</v>
      </c>
      <c r="B5" s="739" t="str">
        <f>UPPER('черно+'!B9)</f>
        <v>НЕ</v>
      </c>
      <c r="C5" s="749" t="s">
        <v>286</v>
      </c>
      <c r="D5" s="740" t="str" cm="1">
        <f t="array" aca="1" ref="D5" ca="1">INDIRECT("'" &amp; M1 &amp; "'!H3") &amp; " €" &amp; " цена/ лист"</f>
        <v xml:space="preserve"> € цена/ лист</v>
      </c>
      <c r="E5" s="211"/>
      <c r="F5" s="699" t="s">
        <v>286</v>
      </c>
      <c r="G5" s="693" t="str" cm="1">
        <f t="array" aca="1" ref="G5" ca="1">INDIRECT("'" &amp; N1 &amp; "'!H3") &amp; " €" &amp; " цена/ лист"</f>
        <v xml:space="preserve"> € цена/ лист</v>
      </c>
      <c r="H5" s="732" t="s">
        <v>295</v>
      </c>
      <c r="I5" s="695" t="str" cm="1">
        <f t="array" aca="1" ref="I5" ca="1">INDIRECT("'" &amp; N1 &amp; "'!C3")</f>
        <v>f.64x90</v>
      </c>
      <c r="J5" s="211"/>
      <c r="K5" s="211"/>
      <c r="L5" s="211"/>
      <c r="M5" s="211"/>
      <c r="N5" s="211"/>
    </row>
    <row r="6" spans="1:17" ht="18.95" customHeight="1">
      <c r="A6" s="694">
        <v>150</v>
      </c>
      <c r="B6" s="744" t="s">
        <v>36</v>
      </c>
      <c r="C6" s="747" t="s">
        <v>295</v>
      </c>
      <c r="D6" s="743" t="str">
        <f>'черно+'!B3</f>
        <v>f.70x100</v>
      </c>
      <c r="E6" s="211"/>
      <c r="F6" s="694">
        <v>70</v>
      </c>
      <c r="G6" s="715" t="s">
        <v>318</v>
      </c>
      <c r="H6" s="745" t="s">
        <v>301</v>
      </c>
      <c r="I6" s="731" t="str">
        <f>Химия!C4</f>
        <v/>
      </c>
      <c r="J6" s="211"/>
      <c r="K6" s="211"/>
      <c r="L6" s="211"/>
      <c r="N6" s="211"/>
    </row>
    <row r="7" spans="1:17" ht="18.95" customHeight="1">
      <c r="A7" s="878" t="str">
        <f>'черно+'!B15 &amp; " листа (вкл. макулатура)"</f>
        <v>215 листа (вкл. макулатура)</v>
      </c>
      <c r="B7" s="879"/>
      <c r="C7" s="749" t="s">
        <v>294</v>
      </c>
      <c r="D7" s="728" t="str">
        <f>'черно+'!B4</f>
        <v>45х25</v>
      </c>
      <c r="E7" s="211"/>
      <c r="F7" s="699" t="s">
        <v>282</v>
      </c>
      <c r="G7" s="751" t="str">
        <f>Химия!C14</f>
        <v/>
      </c>
      <c r="H7" s="732" t="s">
        <v>296</v>
      </c>
      <c r="I7" s="712" t="str">
        <f>Химия!C5</f>
        <v/>
      </c>
      <c r="J7" s="211"/>
      <c r="K7" s="211"/>
      <c r="L7" s="211"/>
      <c r="N7" s="211"/>
    </row>
    <row r="8" spans="1:17" ht="22.5" customHeight="1">
      <c r="A8" s="750" t="s">
        <v>282</v>
      </c>
      <c r="B8" s="838">
        <f>'черно+'!B12</f>
        <v>1200</v>
      </c>
      <c r="C8" s="747" t="s">
        <v>296</v>
      </c>
      <c r="D8" s="711">
        <f>'черно+'!B11</f>
        <v>12</v>
      </c>
      <c r="E8" s="211"/>
      <c r="F8" s="713" t="s">
        <v>287</v>
      </c>
      <c r="G8" s="735" t="str">
        <f>Химия!C7 &amp; " + " &amp; Химия!C8</f>
        <v xml:space="preserve"> + </v>
      </c>
      <c r="H8" s="714" t="s">
        <v>290</v>
      </c>
      <c r="I8" s="734" t="str">
        <f>UPPER(Химия!C9)</f>
        <v/>
      </c>
      <c r="J8" s="211"/>
      <c r="K8" s="211"/>
      <c r="L8" s="211"/>
      <c r="N8" s="211"/>
    </row>
    <row r="9" spans="1:17" ht="24.75" customHeight="1">
      <c r="A9" s="742" t="s">
        <v>284</v>
      </c>
      <c r="B9" s="883" t="str">
        <f>_xlfn.LET(_xlpm.лам_вид,'черно+'!H14,_xlpm.ном_стойност,'черно+'!G10,_xlpm.перф,'черно+'!H11,_xlpm.УВ_вид,'черно+'!H13,_xlpm.ном_биг,'черно+'!H16,_xlpm.щанц,'черно+'!H17,_xlpm.сгъв_стойност,'черно+'!H20, _xlpm.текст_лам,IF(OR(_xlpm.лам_вид="без",_xlpm.лам_вид=""),"","Ламинат "&amp;_xlpm.лам_вид),_xlpm.текст_ном,IF(ISNUMBER(_xlpm.ном_стойност),"Номерация",""),_xlpm.текст_перф,IF(OR(_xlpm.перф="без",_xlpm.перф=""),"","Перфорация"),_xlpm.текст_УВ,IF(OR(_xlpm.УВ_вид="без",_xlpm.УВ_вид=""),"","Ув лак "&amp;_xlpm.УВ_вид),_xlpm.текст_биг,IF(OR(_xlpm.ном_биг="без",_xlpm.ном_биг=""),"","Биговане - "&amp;_xlpm.ном_биг&amp;" бига"),_xlpm.текст_сгъв, IF(AND(ISNUMBER(_xlpm.сгъв_стойност), _xlpm.сгъв_стойност &gt; 0), "Сгъване (" &amp; _xlpm.сгъв_стойност &amp; " бр.)", ""),_xlpm.текст_щанц,IF(OR(_xlpm.щанц="без",_xlpm.щанц=""),"","Щанцоване"), _xlpm.списък,_xlfn.TEXTJOIN(" | ",TRUE,_xlpm.текст_лам,_xlpm.текст_ном,_xlpm.текст_перф,_xlpm.текст_УВ,_xlpm.текст_биг, _xlpm.текст_сгъв,_xlpm.текст_щанц),IF(_xlpm.списък="","",""&amp;_xlpm.списък))</f>
        <v>Ув лак надпечат.</v>
      </c>
      <c r="C9" s="884"/>
      <c r="D9" s="885"/>
      <c r="E9" s="211"/>
      <c r="F9" s="699" t="s">
        <v>288</v>
      </c>
      <c r="G9" s="696" t="str">
        <f>Химия!C17 &amp; " листа/ цвят (вкл. макулатура)"</f>
        <v xml:space="preserve"> листа/ цвят (вкл. макулатура)</v>
      </c>
      <c r="H9" s="732" t="s">
        <v>291</v>
      </c>
      <c r="I9" s="707" t="str">
        <f>Химия!C34&amp;"х"&amp;Химия!C35&amp;" мм"</f>
        <v>214х152 мм</v>
      </c>
      <c r="J9" s="211"/>
      <c r="K9" s="211"/>
      <c r="L9" s="211"/>
      <c r="N9" s="211"/>
    </row>
    <row r="10" spans="1:17" ht="24.75" customHeight="1">
      <c r="A10" s="211"/>
      <c r="B10" s="211"/>
      <c r="C10" s="211"/>
      <c r="D10" s="211"/>
      <c r="E10" s="211"/>
      <c r="F10" s="709" t="s">
        <v>284</v>
      </c>
      <c r="G10" s="886" t="str">
        <f>_xlfn.LET(
_xlpm.картон_вид, Химия!H19,
_xlpm.шие_стойност, Химия!G14,
_xlpm.набор, Химия!H15,
_xlpm.ном_биг, Химия!H12,
_xlpm.сгъв_стойност, Химия!H13,
_xlpm.номер_Стр, Химия!G9,
_xlpm.лепене_стойност, Химия!G13,
_xlpm.перфо_стойност, Химия!G10,
_xlpm.брой_листа, Химия!J19,
_xlpm.текст_картон, IF(OR(_xlpm.картон_вид="без", _xlpm.картон_вид=""), "", _xlpm.картон_вид &amp; IF(AND(ISNUMBER(_xlpm.брой_листа), _xlpm.брой_листа &gt; 0), " - " &amp; _xlpm.брой_листа &amp; " цели листа", "")),
_xlpm.текст_ном, IF(ISNUMBER(_xlpm.шие_стойност), "Шиене", ""),
_xlpm.текст_набор, IF(OR(_xlpm.набор="без", _xlpm.набор=""), "", "Набор"),
_xlpm.текст_биг, IF(OR(_xlpm.ном_биг="без", _xlpm.ном_биг=""), "", "Биговане - " &amp; _xlpm.ном_биг &amp; " бига"),
_xlpm.текст_сгъв, IF(AND(ISNUMBER(_xlpm.сгъв_стойност), _xlpm.сгъв_стойност &gt; 0), "Сгъване (" &amp; _xlpm.сгъв_стойност &amp; " бр.)", ""),
_xlpm.текст_Стр, IF(ISNUMBER(_xlpm.номер_Стр), "Номерация", ""),
_xlpm.текст_перфо, IF(ISNUMBER(_xlpm.перфо_стойност), "Перфорация", ""),
_xlpm.текст_лепене, IF(ISNUMBER(_xlpm.лепене_стойност), "Лепене", ""),
_xlpm.списък, _xlfn.TEXTJOIN(" ● ", TRUE, _xlpm.текст_картон, _xlpm.текст_ном, _xlpm.текст_набор, _xlpm.текст_биг, _xlpm.текст_сгъв, _xlpm.текст_Стр, _xlpm.текст_перфо, _xlpm.текст_лепене),
IF(_xlpm.списък="", "", _xlpm.списък))</f>
        <v/>
      </c>
      <c r="H10" s="887"/>
      <c r="I10" s="888"/>
      <c r="J10" s="211"/>
      <c r="K10" s="211"/>
      <c r="L10" s="211"/>
      <c r="N10" s="211"/>
    </row>
    <row r="11" spans="1:17" ht="17.25" customHeight="1">
      <c r="A11" s="832" t="s">
        <v>281</v>
      </c>
      <c r="B11" s="698" t="s">
        <v>260</v>
      </c>
      <c r="C11" s="834" t="s">
        <v>280</v>
      </c>
      <c r="D11" s="721" t="s">
        <v>309</v>
      </c>
      <c r="E11" s="211"/>
      <c r="F11" s="211"/>
      <c r="G11" s="211"/>
      <c r="H11" s="211"/>
      <c r="I11" s="211"/>
      <c r="J11" s="211"/>
      <c r="K11" s="211"/>
      <c r="L11" s="211"/>
      <c r="N11" s="211"/>
    </row>
    <row r="12" spans="1:17" ht="19.5" customHeight="1">
      <c r="A12" s="748" t="s">
        <v>291</v>
      </c>
      <c r="B12" s="837" t="str">
        <f>UPPER(Книжки!C5)</f>
        <v>A4</v>
      </c>
      <c r="C12" s="831" t="s">
        <v>283</v>
      </c>
      <c r="D12" s="840">
        <f ca="1">TODAY()</f>
        <v>46283</v>
      </c>
      <c r="E12" s="211"/>
      <c r="F12" s="211"/>
      <c r="G12" s="211"/>
      <c r="H12" s="211"/>
      <c r="I12" s="211"/>
      <c r="J12" s="211"/>
      <c r="K12" s="211"/>
      <c r="L12" s="211"/>
      <c r="N12" s="211"/>
    </row>
    <row r="13" spans="1:17" ht="24" customHeight="1">
      <c r="A13" s="832" t="s">
        <v>285</v>
      </c>
      <c r="B13" s="718" t="str">
        <f>Книжки!C8&amp;" бр."</f>
        <v>1500 бр.</v>
      </c>
      <c r="C13" s="750" t="s">
        <v>289</v>
      </c>
      <c r="D13" s="720">
        <f>Книжки!G26</f>
        <v>841.5</v>
      </c>
      <c r="E13" s="211"/>
      <c r="J13" s="211"/>
      <c r="K13" s="211"/>
      <c r="L13" s="211"/>
      <c r="N13" s="211"/>
    </row>
    <row r="14" spans="1:17" ht="19.5" customHeight="1">
      <c r="A14" s="747" t="s">
        <v>287</v>
      </c>
      <c r="B14" s="726" t="str">
        <f>Книжки!C6 &amp; " + " &amp; Книжки!C7</f>
        <v>4 + 4</v>
      </c>
      <c r="C14" s="829" t="s">
        <v>293</v>
      </c>
      <c r="D14" s="830">
        <f>Книжки!G27</f>
        <v>0.56100000000000005</v>
      </c>
      <c r="E14" s="211"/>
      <c r="J14" s="211"/>
      <c r="K14" s="211"/>
      <c r="L14" s="211"/>
      <c r="N14" s="211"/>
    </row>
    <row r="15" spans="1:17" ht="22.5" customHeight="1">
      <c r="A15" s="832" t="s">
        <v>290</v>
      </c>
      <c r="B15" s="723" t="str">
        <f>UPPER(Книжки!C12)</f>
        <v>НЕ</v>
      </c>
      <c r="C15" s="750" t="s">
        <v>295</v>
      </c>
      <c r="D15" s="692" t="str">
        <f>Книжки!C3</f>
        <v>f.64x90</v>
      </c>
      <c r="E15" s="211"/>
      <c r="J15" s="211"/>
      <c r="K15" s="211"/>
      <c r="L15" s="211"/>
      <c r="N15" s="211"/>
      <c r="Q15" s="689"/>
    </row>
    <row r="16" spans="1:17" ht="19.5" customHeight="1">
      <c r="A16" s="694">
        <v>80</v>
      </c>
      <c r="B16" s="833" t="s">
        <v>305</v>
      </c>
      <c r="C16" s="829" t="s">
        <v>294</v>
      </c>
      <c r="D16" s="719" t="str">
        <f>Книжки!C4</f>
        <v>45x32</v>
      </c>
      <c r="E16" s="211"/>
      <c r="J16" s="211"/>
      <c r="K16" s="211"/>
      <c r="L16" s="211"/>
      <c r="N16" s="211"/>
    </row>
    <row r="17" spans="1:14" ht="15">
      <c r="A17" s="835" t="s">
        <v>297</v>
      </c>
      <c r="B17" s="722">
        <f>Книжки!C9</f>
        <v>16</v>
      </c>
      <c r="C17" s="835" t="s">
        <v>298</v>
      </c>
      <c r="D17" s="724">
        <f>Книжки!C11</f>
        <v>4</v>
      </c>
      <c r="E17" s="211"/>
      <c r="J17" s="211"/>
      <c r="K17" s="211"/>
      <c r="L17" s="211"/>
      <c r="M17" s="211"/>
      <c r="N17" s="211"/>
    </row>
    <row r="18" spans="1:14" ht="19.5" customHeight="1">
      <c r="A18" s="831" t="s">
        <v>282</v>
      </c>
      <c r="B18" s="839">
        <f>Книжки!C13</f>
        <v>1500</v>
      </c>
      <c r="C18" s="717" t="s">
        <v>296</v>
      </c>
      <c r="D18" s="725">
        <f>Книжки!C10</f>
        <v>2</v>
      </c>
      <c r="E18" s="211"/>
      <c r="J18" s="211"/>
      <c r="K18" s="211"/>
      <c r="L18" s="211"/>
      <c r="M18" s="211"/>
      <c r="N18" s="211"/>
    </row>
    <row r="19" spans="1:14" ht="16.5" customHeight="1">
      <c r="A19" s="750" t="s">
        <v>286</v>
      </c>
      <c r="B19" s="722" t="str">
        <f>Книжки!H3&amp; " €" &amp; " цена/ лист"</f>
        <v>0,085 € цена/ лист</v>
      </c>
      <c r="C19" s="889" t="str">
        <f>Книжки!C16 &amp; " листа (вкл. макулатура)"</f>
        <v>1680 листа (вкл. макулатура)</v>
      </c>
      <c r="D19" s="890"/>
      <c r="E19" s="211"/>
      <c r="J19" s="211"/>
      <c r="K19" s="211"/>
      <c r="L19" s="211"/>
      <c r="M19" s="211"/>
      <c r="N19" s="211"/>
    </row>
    <row r="20" spans="1:14" ht="26.25" customHeight="1">
      <c r="A20" s="836" t="s">
        <v>284</v>
      </c>
      <c r="B20" s="880" t="str">
        <f>_xlfn.LET(
_xlpm.лам_вид,Книжки!H21,
_xlpm.шие_стойност,Книжки!G11,
_xlpm.набор,Книжки!H12,
_xlpm.УВ_вид,Книжки!H20,
_xlpm.ном_биг,Книжки!H18,
_xlpm.влаг,Книжки!H14,
_xlpm.сгъв_стойност,Книжки!H13,
_xlpm.номер_Стр,Книжки!G16,
_xlpm.текст_лам,IF(OR(_xlpm.лам_вид="без",_xlpm.лам_вид=""),"","Ламинат "&amp;_xlpm.лам_вид),
_xlpm.текст_ном, IF(AND(ISNUMBER(_xlpm.шие_стойност), _xlpm.шие_стойност &lt;&gt; 0, _xlpm.шие_стойност &lt;&gt; ""), "Шиене", ""),
_xlpm.текст_набор,IF(OR(_xlpm.набор="без",_xlpm.набор=""),"","Набор"),
_xlpm.текст_УВ,IF(OR(_xlpm.УВ_вид="без",_xlpm.УВ_вид=""),"","УВ лак "&amp;_xlpm.УВ_вид),
_xlpm.текст_биг,IF(OR(_xlpm.ном_биг="без",_xlpm.ном_биг=""),"","Биговане - "&amp;_xlpm.ном_биг&amp;" бига"),
_xlpm.текст_сгъв, IF(AND(ISNUMBER(_xlpm.сгъв_стойност), _xlpm.сгъв_стойност &gt; 0), "Сгъване (" &amp; _xlpm.сгъв_стойност &amp; " бр.)", ""),
_xlpm.текст_влаг,IF(OR(_xlpm.влаг="без",_xlpm.влаг=""),"","Влагане"),
_xlpm.текст_Стр, IF(AND(ISNUMBER(_xlpm.номер_Стр), _xlpm.номер_Стр &gt; 0), "Номерация", ""),
_xlpm.списък,_xlfn.TEXTJOIN(" | ",TRUE,_xlpm.текст_лам,_xlpm.текст_ном,_xlpm.текст_набор,_xlpm.текст_УВ,_xlpm.текст_биг, _xlpm.текст_сгъв,_xlpm.текст_влаг,_xlpm.текст_Стр),IF(_xlpm.списък="","",""&amp;_xlpm.списък))</f>
        <v>Шиене | Набор | Сгъване (1 бр.) | Влагане</v>
      </c>
      <c r="C20" s="881"/>
      <c r="D20" s="882"/>
      <c r="E20" s="211"/>
      <c r="I20" s="753"/>
      <c r="J20" s="211"/>
      <c r="K20" s="211"/>
      <c r="L20" s="211"/>
      <c r="M20" s="211"/>
      <c r="N20" s="211"/>
    </row>
    <row r="21" spans="1:14">
      <c r="E21" s="211"/>
      <c r="J21" s="211"/>
      <c r="K21" s="211"/>
      <c r="L21" s="211"/>
      <c r="M21" s="211"/>
      <c r="N21" s="211"/>
    </row>
    <row r="22" spans="1:14">
      <c r="E22" s="211"/>
      <c r="J22" s="211"/>
      <c r="K22" s="211"/>
      <c r="L22" s="211"/>
      <c r="M22" s="211"/>
      <c r="N22" s="211"/>
    </row>
    <row r="23" spans="1:14">
      <c r="E23" s="211"/>
      <c r="F23" s="211"/>
      <c r="G23" s="211"/>
      <c r="H23" s="211"/>
      <c r="I23" s="211"/>
      <c r="J23" s="211"/>
      <c r="K23" s="211"/>
      <c r="L23" s="211"/>
      <c r="M23" s="211"/>
      <c r="N23" s="211"/>
    </row>
    <row r="24" spans="1:14">
      <c r="E24" s="211"/>
      <c r="F24" s="211"/>
      <c r="G24" s="211"/>
      <c r="H24" s="211"/>
      <c r="I24" s="211"/>
      <c r="J24" s="211"/>
      <c r="K24" s="211"/>
      <c r="L24" s="211"/>
      <c r="M24" s="211"/>
      <c r="N24" s="211"/>
    </row>
    <row r="25" spans="1:14">
      <c r="E25" s="211"/>
      <c r="F25" s="211"/>
      <c r="G25" s="211"/>
      <c r="H25" s="211"/>
      <c r="I25" s="211"/>
      <c r="J25" s="211"/>
      <c r="K25" s="211"/>
      <c r="L25" s="211"/>
      <c r="M25" s="211"/>
      <c r="N25" s="211"/>
    </row>
    <row r="31" spans="1:14" ht="19.5" customHeight="1"/>
  </sheetData>
  <mergeCells count="5">
    <mergeCell ref="A7:B7"/>
    <mergeCell ref="B20:D20"/>
    <mergeCell ref="B9:D9"/>
    <mergeCell ref="G10:I10"/>
    <mergeCell ref="C19:D19"/>
  </mergeCells>
  <dataValidations count="3">
    <dataValidation type="list" errorStyle="information" allowBlank="1" showInputMessage="1" errorTitle="изделието е извън списъка!" sqref="B11 G2 B1" xr:uid="{CA8C99E1-91DD-44D4-88B7-64B561007194}">
      <formula1>"листовка,етикет,корици,дипляна,книжка,флаери,кутия,каталог,визитки,ваучери,талони,подложки"</formula1>
    </dataValidation>
    <dataValidation type="list" allowBlank="1" showInputMessage="1" sqref="G1 D1 D11" xr:uid="{31FA5714-1446-45D0-80D3-7C291F557C04}">
      <formula1>"Ани,Лили,Джони,Аргир/Заре,Роси,Иван,Наум,Ицо,Симеон,Гатеви"</formula1>
    </dataValidation>
    <dataValidation type="list" allowBlank="1" sqref="A16 F6 A6" xr:uid="{3EBA1611-F29C-40E8-AC5C-920D4A125826}">
      <formula1>hartiya</formula1>
    </dataValidation>
  </dataValidations>
  <pageMargins left="0.25" right="0.25" top="0.75" bottom="0.75" header="0.3" footer="0.3"/>
  <pageSetup paperSize="9" orientation="landscape" horizontalDpi="4294967294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0">
    <tabColor theme="7" tint="0.79998168889431442"/>
  </sheetPr>
  <dimension ref="A1:F23"/>
  <sheetViews>
    <sheetView workbookViewId="0">
      <selection activeCell="H9" sqref="H9"/>
    </sheetView>
  </sheetViews>
  <sheetFormatPr defaultRowHeight="15"/>
  <cols>
    <col min="1" max="1" width="17.140625" customWidth="1"/>
    <col min="4" max="4" width="11.42578125" customWidth="1"/>
  </cols>
  <sheetData>
    <row r="1" spans="1:6">
      <c r="A1" s="892" t="s">
        <v>128</v>
      </c>
      <c r="B1" s="892"/>
      <c r="C1" s="14"/>
    </row>
    <row r="2" spans="1:6" ht="15" customHeight="1">
      <c r="A2" s="402"/>
      <c r="B2" s="402"/>
      <c r="C2" s="4"/>
      <c r="D2" s="4"/>
    </row>
    <row r="3" spans="1:6" ht="18.75" customHeight="1">
      <c r="A3" s="891" t="s">
        <v>130</v>
      </c>
      <c r="B3" s="891"/>
      <c r="D3" s="4"/>
      <c r="E3" s="654">
        <f>E4*E9</f>
        <v>2.5034624000000001</v>
      </c>
    </row>
    <row r="4" spans="1:6" ht="19.5" customHeight="1">
      <c r="A4" s="891"/>
      <c r="B4" s="891"/>
      <c r="D4" s="499" t="s">
        <v>171</v>
      </c>
      <c r="E4" s="655">
        <f>VLOOKUP(D4,montaj[#All],2)</f>
        <v>1.28</v>
      </c>
    </row>
    <row r="5" spans="1:6" ht="25.5" customHeight="1">
      <c r="A5" s="15" t="s">
        <v>64</v>
      </c>
      <c r="B5" s="15" t="s">
        <v>66</v>
      </c>
    </row>
    <row r="6" spans="1:6" ht="24" customHeight="1">
      <c r="A6" s="697" t="s">
        <v>39</v>
      </c>
      <c r="B6" s="566">
        <v>0</v>
      </c>
      <c r="D6" s="4"/>
    </row>
    <row r="7" spans="1:6" ht="15" customHeight="1">
      <c r="A7" s="702" t="s">
        <v>172</v>
      </c>
      <c r="B7" s="567">
        <v>2.56</v>
      </c>
      <c r="D7" s="4"/>
    </row>
    <row r="8" spans="1:6" ht="15.75" customHeight="1">
      <c r="A8" s="702" t="s">
        <v>127</v>
      </c>
      <c r="B8" s="567">
        <v>1.02</v>
      </c>
      <c r="D8" s="4"/>
    </row>
    <row r="9" spans="1:6" ht="15" customHeight="1">
      <c r="A9" s="697" t="s">
        <v>129</v>
      </c>
      <c r="B9" s="568">
        <v>1.53</v>
      </c>
      <c r="D9" s="539" t="s">
        <v>261</v>
      </c>
      <c r="E9" s="656">
        <v>1.95583</v>
      </c>
      <c r="F9" s="538" t="s">
        <v>262</v>
      </c>
    </row>
    <row r="10" spans="1:6" ht="19.5" customHeight="1">
      <c r="A10" s="702" t="s">
        <v>126</v>
      </c>
      <c r="B10" s="567">
        <v>1.28</v>
      </c>
      <c r="D10" s="541">
        <v>25</v>
      </c>
      <c r="E10" s="546">
        <f>D10/E9</f>
        <v>12.782297029905463</v>
      </c>
    </row>
    <row r="11" spans="1:6" ht="24.75" customHeight="1">
      <c r="A11" s="697" t="s">
        <v>242</v>
      </c>
      <c r="B11" s="569">
        <v>0.51</v>
      </c>
      <c r="C11" s="4"/>
      <c r="D11" s="4"/>
    </row>
    <row r="12" spans="1:6" ht="26.25" customHeight="1">
      <c r="A12" s="702" t="s">
        <v>125</v>
      </c>
      <c r="B12" s="567">
        <v>2.56</v>
      </c>
      <c r="C12" s="4"/>
    </row>
    <row r="13" spans="1:6" ht="21.75" customHeight="1">
      <c r="A13" s="702" t="s">
        <v>136</v>
      </c>
      <c r="B13" s="567">
        <v>0.25</v>
      </c>
      <c r="C13" s="4"/>
      <c r="D13" s="4"/>
    </row>
    <row r="14" spans="1:6" ht="21" customHeight="1">
      <c r="A14" s="697" t="s">
        <v>171</v>
      </c>
      <c r="B14" s="570">
        <v>1.28</v>
      </c>
      <c r="C14" s="4"/>
      <c r="D14" s="4"/>
    </row>
    <row r="15" spans="1:6" ht="21" customHeight="1">
      <c r="A15" s="4"/>
      <c r="B15" s="4"/>
      <c r="C15" s="4"/>
    </row>
    <row r="16" spans="1:6" ht="28.5" customHeight="1">
      <c r="A16" s="4"/>
      <c r="B16" s="4"/>
      <c r="C16" s="4"/>
      <c r="D16" s="4"/>
    </row>
    <row r="17" spans="1:4">
      <c r="A17" s="4"/>
      <c r="B17" s="4"/>
      <c r="C17" s="4"/>
      <c r="D17" s="4"/>
    </row>
    <row r="18" spans="1:4" ht="18.75" customHeight="1">
      <c r="A18" s="4"/>
      <c r="B18" s="4"/>
      <c r="C18" s="4"/>
      <c r="D18" s="4"/>
    </row>
    <row r="19" spans="1:4" ht="24.75" customHeight="1">
      <c r="A19" s="4"/>
      <c r="B19" s="4"/>
      <c r="C19" s="4"/>
      <c r="D19" s="4"/>
    </row>
    <row r="20" spans="1:4">
      <c r="A20" s="4"/>
      <c r="B20" s="4"/>
      <c r="C20" s="4"/>
      <c r="D20" s="4"/>
    </row>
    <row r="21" spans="1:4">
      <c r="A21" s="4"/>
      <c r="B21" s="4"/>
      <c r="C21" s="4"/>
      <c r="D21" s="4"/>
    </row>
    <row r="22" spans="1:4" ht="27.75" customHeight="1">
      <c r="A22" s="4"/>
      <c r="B22" s="4"/>
      <c r="C22" s="4"/>
      <c r="D22" s="4"/>
    </row>
    <row r="23" spans="1:4">
      <c r="A23" s="4"/>
      <c r="B23" s="4"/>
      <c r="C23" s="4"/>
      <c r="D23" s="4"/>
    </row>
  </sheetData>
  <mergeCells count="2">
    <mergeCell ref="A3:B4"/>
    <mergeCell ref="A1:B1"/>
  </mergeCells>
  <dataValidations count="1">
    <dataValidation type="list" allowBlank="1" showInputMessage="1" showErrorMessage="1" sqref="D4" xr:uid="{00000000-0002-0000-0A00-000000000000}">
      <formula1>el.montaj</formula1>
    </dataValidation>
  </dataValidations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677BA2-5326-4503-92C9-C049DDD11F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9</vt:i4>
      </vt:variant>
      <vt:variant>
        <vt:lpstr>Наименувани диапазони</vt:lpstr>
      </vt:variant>
      <vt:variant>
        <vt:i4>21</vt:i4>
      </vt:variant>
    </vt:vector>
  </HeadingPairs>
  <TitlesOfParts>
    <vt:vector size="30" baseType="lpstr">
      <vt:lpstr>черно+</vt:lpstr>
      <vt:lpstr>Химия</vt:lpstr>
      <vt:lpstr>Книжки</vt:lpstr>
      <vt:lpstr>Календари</vt:lpstr>
      <vt:lpstr>спирала</vt:lpstr>
      <vt:lpstr>формати</vt:lpstr>
      <vt:lpstr>довърш.</vt:lpstr>
      <vt:lpstr>заявка</vt:lpstr>
      <vt:lpstr>предпечат и ел. монтаж</vt:lpstr>
      <vt:lpstr>el.montaj</vt:lpstr>
      <vt:lpstr>f.43x61</vt:lpstr>
      <vt:lpstr>f.50x70</vt:lpstr>
      <vt:lpstr>f.60x84</vt:lpstr>
      <vt:lpstr>f.60x90</vt:lpstr>
      <vt:lpstr>f.61x86</vt:lpstr>
      <vt:lpstr>f.64x88</vt:lpstr>
      <vt:lpstr>f.64x90</vt:lpstr>
      <vt:lpstr>f.64x94</vt:lpstr>
      <vt:lpstr>f.70x100</vt:lpstr>
      <vt:lpstr>form_Cyal_list</vt:lpstr>
      <vt:lpstr>formati</vt:lpstr>
      <vt:lpstr>Hymiya</vt:lpstr>
      <vt:lpstr>inch</vt:lpstr>
      <vt:lpstr>lak</vt:lpstr>
      <vt:lpstr>lepene</vt:lpstr>
      <vt:lpstr>obr.</vt:lpstr>
      <vt:lpstr>podgot_cena</vt:lpstr>
      <vt:lpstr>uv</vt:lpstr>
      <vt:lpstr>uv_podgot</vt:lpstr>
      <vt:lpstr>плаки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M P</cp:lastModifiedBy>
  <cp:lastPrinted>2026-04-14T05:55:24Z</cp:lastPrinted>
  <dcterms:created xsi:type="dcterms:W3CDTF">2013-10-04T06:52:13Z</dcterms:created>
  <dcterms:modified xsi:type="dcterms:W3CDTF">2026-09-18T07:09:51Z</dcterms:modified>
</cp:coreProperties>
</file>